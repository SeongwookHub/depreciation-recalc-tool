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정보" sheetId="1" state="visible" r:id="rId1"/>
    <sheet xmlns:r="http://schemas.openxmlformats.org/officeDocument/2006/relationships" name="재계산결과" sheetId="2" state="visible" r:id="rId2"/>
    <sheet xmlns:r="http://schemas.openxmlformats.org/officeDocument/2006/relationships" name="차이자산" sheetId="3" state="visible" r:id="rId3"/>
    <sheet xmlns:r="http://schemas.openxmlformats.org/officeDocument/2006/relationships" name="유의한차이자산" sheetId="4" state="visible" r:id="rId4"/>
    <sheet xmlns:r="http://schemas.openxmlformats.org/officeDocument/2006/relationships" name="데이터오류" sheetId="5" state="visible" r:id="rId5"/>
    <sheet xmlns:r="http://schemas.openxmlformats.org/officeDocument/2006/relationships" name="자산군별통계" sheetId="6" state="visible" r:id="rId6"/>
    <sheet xmlns:r="http://schemas.openxmlformats.org/officeDocument/2006/relationships" name="상각률표(별표4)" sheetId="7" state="visible" r:id="rId7"/>
  </sheets>
  <definedNames>
    <definedName name="_xlnm._FilterDatabase" localSheetId="1" hidden="1">'재계산결과'!$A$1:$AN$123</definedName>
    <definedName name="_xlnm._FilterDatabase" localSheetId="2" hidden="1">'차이자산'!$A$1:$AQ$9</definedName>
    <definedName name="_xlnm._FilterDatabase" localSheetId="4" hidden="1">'데이터오류'!$A$1:$Q$12</definedName>
    <definedName name="_xlnm._FilterDatabase" localSheetId="5" hidden="1">'자산군별통계'!$A$1:$G$3</definedName>
    <definedName name="_xlnm._FilterDatabase" localSheetId="6" hidden="1">'상각률표(별표4)'!$A$1:$C$60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548235"/>
        <bgColor rgb="00548235"/>
      </patternFill>
    </fill>
    <fill>
      <patternFill patternType="solid">
        <fgColor rgb="0031859C"/>
        <bgColor rgb="0031859C"/>
      </patternFill>
    </fill>
    <fill>
      <patternFill patternType="solid">
        <fgColor rgb="007F7F7F"/>
        <bgColor rgb="007F7F7F"/>
      </patternFill>
    </fill>
    <fill>
      <patternFill patternType="solid">
        <fgColor rgb="00FFC7CE"/>
        <bgColor rgb="00FFC7CE"/>
      </patternFill>
    </fill>
    <fill>
      <patternFill patternType="solid">
        <fgColor rgb="00E2EFDA"/>
        <bgColor rgb="00E2EFDA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166" fontId="0" fillId="0" borderId="0" pivotButton="0" quotePrefix="0" xfId="0"/>
    <xf numFmtId="0" fontId="0" fillId="7" borderId="0" pivotButton="0" quotePrefix="0" xfId="0"/>
    <xf numFmtId="164" fontId="0" fillId="7" borderId="0" pivotButton="0" quotePrefix="0" xfId="0"/>
    <xf numFmtId="3" fontId="0" fillId="7" borderId="0" pivotButton="0" quotePrefix="0" xfId="0"/>
    <xf numFmtId="166" fontId="0" fillId="7" borderId="0" pivotButton="0" quotePrefix="0" xfId="0"/>
    <xf numFmtId="0" fontId="0" fillId="8" borderId="0" pivotButton="0" quotePrefix="0" xfId="0"/>
    <xf numFmtId="164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3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05" customWidth="1" min="1" max="1"/>
    <col width="16" customWidth="1" min="4" max="4"/>
    <col width="16" customWidth="1" min="5" max="5"/>
  </cols>
  <sheetData>
    <row r="1">
      <c r="A1" s="1" t="inlineStr">
        <is>
          <t>이 결과 파일 읽는 법</t>
        </is>
      </c>
      <c r="D1" s="2" t="inlineStr">
        <is>
          <t>이 결과 파일의 기준값</t>
        </is>
      </c>
      <c r="E1" s="3" t="n"/>
    </row>
    <row r="2">
      <c r="A2" t="inlineStr"/>
      <c r="D2" t="inlineStr">
        <is>
          <t>기준일</t>
        </is>
      </c>
      <c r="E2" s="4" t="n">
        <v>46022</v>
      </c>
    </row>
    <row r="3">
      <c r="A3" s="5" t="inlineStr">
        <is>
          <t>1. 이 프로그램은 무엇을 하나요?</t>
        </is>
      </c>
      <c r="D3" t="inlineStr">
        <is>
          <t>당기회계연도</t>
        </is>
      </c>
      <c r="E3" t="n">
        <v>2025</v>
      </c>
    </row>
    <row r="4">
      <c r="A4" t="inlineStr">
        <is>
          <t>회사가 작성한 고정자산대장(엑셀) 하나를 입력받아, 자산마다 정액법/정률법/이중체감법/연수합계법/</t>
        </is>
      </c>
      <c r="D4" t="inlineStr">
        <is>
          <t>전기말일자</t>
        </is>
      </c>
      <c r="E4" s="4" t="n">
        <v>45657</v>
      </c>
    </row>
    <row r="5">
      <c r="A5" t="inlineStr">
        <is>
          <t>생산량비례법 등 자기 상각방법에 맞는 당기 감가상각비를 이 프로그램이 회사와 무관하게 독립적으로 다시 계산합니다.</t>
        </is>
      </c>
      <c r="D5" t="inlineStr">
        <is>
          <t>AMPT</t>
        </is>
      </c>
      <c r="E5" s="6" t="n">
        <v>1000000</v>
      </c>
    </row>
    <row r="6">
      <c r="A6" t="inlineStr">
        <is>
          <t>그 재계산 금액과 회사가 장부에 반영한 금액을 자산별로 대조해서, 금액이 다른 자산만 골라 보여줍니다.</t>
        </is>
      </c>
      <c r="D6" t="inlineStr">
        <is>
          <t>중요성</t>
        </is>
      </c>
      <c r="E6" s="6" t="n">
        <v>50000000</v>
      </c>
    </row>
    <row r="7">
      <c r="A7" t="inlineStr">
        <is>
          <t>즉 "회사가 계산한 감가상각비가 맞는지"를 사람이 일일이 엑셀 수식으로 대조하지 않고 자동으로 검증하는 도구입니다.</t>
        </is>
      </c>
      <c r="D7" t="inlineStr">
        <is>
          <t>수행중요성(PM)</t>
        </is>
      </c>
      <c r="E7" s="6" t="n">
        <v>10000000</v>
      </c>
    </row>
    <row r="8">
      <c r="A8" t="inlineStr"/>
    </row>
    <row r="9">
      <c r="A9" s="5" t="inlineStr">
        <is>
          <t>2. 결과 파일은 어떤 과정을 거쳐 만들어지나요?</t>
        </is>
      </c>
    </row>
    <row r="10">
      <c r="A10" t="inlineStr">
        <is>
          <t>① 컬럼 인식 — 입력 파일에서 취득일·취득원가·상각방법 등 필요한 컬럼을 찾습니다(컬럼명이 달라도 매핑 가능).</t>
        </is>
      </c>
    </row>
    <row r="11">
      <c r="A11" t="inlineStr">
        <is>
          <t>② 입력값 검증 — 내용연수가 0 이하이거나 잔존가치가 취득원가보다 큰 것처럼 계산 자체가 불가능한</t>
        </is>
      </c>
    </row>
    <row r="12">
      <c r="A12" t="inlineStr">
        <is>
          <t xml:space="preserve">   자산은 재계산을 시도하지 않고 [데이터오류] 시트로 분리합니다.</t>
        </is>
      </c>
    </row>
    <row r="13">
      <c r="A13" t="inlineStr">
        <is>
          <t>③ 자산별 재계산 — 나머지 자산은 취득일부터 기준일까지 월할상각(정액법), 연도별 장부가액 감소</t>
        </is>
      </c>
    </row>
    <row r="14">
      <c r="A14" t="inlineStr">
        <is>
          <t xml:space="preserve">   (정률법·이중체감법), 연차별 몫 배분(연수합계법), 생산량 비율(생산량비례법)로 당기 감가상각비를</t>
        </is>
      </c>
    </row>
    <row r="15">
      <c r="A15" t="inlineStr">
        <is>
          <t xml:space="preserve">   다시 계산합니다. 처분·내용연수 재추정·자본적지출·감가상각중단 같은 이벤트가 있는 자산도 그</t>
        </is>
      </c>
    </row>
    <row r="16">
      <c r="A16" t="inlineStr">
        <is>
          <t xml:space="preserve">   이벤트를 반영해 계산합니다.</t>
        </is>
      </c>
    </row>
    <row r="17">
      <c r="A17" t="inlineStr">
        <is>
          <t>④ 비교 및 분류 — 회사반영 금액과 재계산 금액을 비교해 일치/불일치, 중요성 기준(AMPT, 아래 표) 이상</t>
        </is>
      </c>
    </row>
    <row r="18">
      <c r="A18" t="inlineStr">
        <is>
          <t xml:space="preserve">   차이나면 유의한 차이로 구분합니다. 전기말 감가상각누계액도 참고용으로 같은 방식으로 비교합니다</t>
        </is>
      </c>
    </row>
    <row r="19">
      <c r="A19" t="inlineStr">
        <is>
          <t xml:space="preserve">   (당기 감가상각비 일치 판정에는 영향 없음).</t>
        </is>
      </c>
    </row>
    <row r="20">
      <c r="A20" t="inlineStr">
        <is>
          <t>⑤ 원인 추정 — 불일치 자산 중 처분·재추정 등 이미 계산된 정보로 설명되는 경우는 규칙으로, 애매한</t>
        </is>
      </c>
    </row>
    <row r="21">
      <c r="A21" t="inlineStr">
        <is>
          <t xml:space="preserve">   경우는 (설정된 경우) AI로 차이 원인을 한 줄 추정합니다.</t>
        </is>
      </c>
    </row>
    <row r="22">
      <c r="A22" t="inlineStr">
        <is>
          <t>⑥ 엑셀 저장 — 위 결과를 시트별로 정리해 저장합니다. 상각률·재계산 감가상각비 등 재계산 관련 수치는</t>
        </is>
      </c>
    </row>
    <row r="23">
      <c r="A23" t="inlineStr">
        <is>
          <t xml:space="preserve">   고정된 값이 아니라 실제 엑셀 수식으로 연결돼 있어, 셀을 눌러보면 어떻게 계산됐는지 확인하거나</t>
        </is>
      </c>
    </row>
    <row r="24">
      <c r="A24" t="inlineStr">
        <is>
          <t xml:space="preserve">   내용연수 같은 입력값을 바꿔가며 재계산 결과가 어떻게 달라지는지 직접 시험해볼 수 있습니다.</t>
        </is>
      </c>
    </row>
    <row r="25">
      <c r="A25" t="inlineStr"/>
    </row>
    <row r="26">
      <c r="A26" s="5" t="inlineStr">
        <is>
          <t>3. 시트별 설명</t>
        </is>
      </c>
    </row>
    <row r="27">
      <c r="A27" t="inlineStr">
        <is>
          <t>기준정보 — 지금 보고 계신 이 시트. 프로그램 안내와 이 결과 파일을 만들 때 쓰인 기준값.</t>
        </is>
      </c>
    </row>
    <row r="28">
      <c r="A28" t="inlineStr">
        <is>
          <t xml:space="preserve">   아래 표의 AMPT가 실제 "유의한 차이" 판정에 쓰이는 값이고, 중요성/수행중요성(PM)은 참고용</t>
        </is>
      </c>
    </row>
    <row r="29">
      <c r="A29" t="inlineStr">
        <is>
          <t xml:space="preserve">   정보로만 표시됩니다(재계산결과 시트의 판정 로직에는 관여하지 않습니다).</t>
        </is>
      </c>
    </row>
    <row r="30">
      <c r="A30" t="inlineStr">
        <is>
          <t>재계산결과 — 전체 자산의 상세 재계산 내역(입력값·계산과정·회사반영/재계산 금액·차이 등). 차이 열이</t>
        </is>
      </c>
    </row>
    <row r="31">
      <c r="A31" t="inlineStr">
        <is>
          <t xml:space="preserve">   0이면 일치, 0이 아니면 불일치인 자산입니다.</t>
        </is>
      </c>
    </row>
    <row r="32">
      <c r="A32" t="inlineStr">
        <is>
          <t>차이자산 — [재계산결과] 중 회사반영 금액과 재계산 금액이 다른 자산만 모은 시트(차이금액 큰 순).</t>
        </is>
      </c>
    </row>
    <row r="33">
      <c r="A33" t="inlineStr">
        <is>
          <t>유의한차이자산 — [차이자산] 중에서도 중요성 기준(AMPT, 아래 표) 이상 차이나는 자산만 별도로 정리한 시트.</t>
        </is>
      </c>
    </row>
    <row r="34">
      <c r="A34" t="inlineStr">
        <is>
          <t>데이터오류 — 취득원가·잔존가치·내용연수 값 자체가 계산 불가능해 재계산을 시도하지 않은 자산과 그 사유.</t>
        </is>
      </c>
    </row>
    <row r="35">
      <c r="A35" t="inlineStr">
        <is>
          <t>자산군별통계 — 유형자산/무형자산 등 자산분류별 전체건수·불일치건수·불일치율 등 집계.</t>
        </is>
      </c>
    </row>
    <row r="36">
      <c r="A36" t="inlineStr">
        <is>
          <t>상각률표(별표4) — 정률법 재계산에 쓰인 법인세법 시행규칙 [별표4] 상각률표 원문. [재계산결과]의</t>
        </is>
      </c>
    </row>
    <row r="37">
      <c r="A37" t="inlineStr">
        <is>
          <t xml:space="preserve">   "상각률" 수식이 이 표를 참조합니다.</t>
        </is>
      </c>
    </row>
    <row r="38">
      <c r="A38" t="inlineStr">
        <is>
          <t>연도별추이 / 연도별요약 — 여러 회계연도를 비교 설정했을 때만 생성되는, 자산별 연도별 상각비 추이와(이번 결과 파일에는 없음 — 단일 연도만 계산)</t>
        </is>
      </c>
    </row>
    <row r="39">
      <c r="A39" t="inlineStr">
        <is>
          <t xml:space="preserve">   전년대비 이상 증감 탐지 시트.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8" t="inlineStr">
        <is>
          <t>회사반영_당기감가상각비</t>
        </is>
      </c>
      <c r="AD1" s="8" t="inlineStr">
        <is>
          <t>재계산_당기감가상각비</t>
        </is>
      </c>
      <c r="AE1" s="8" t="inlineStr">
        <is>
          <t>차이(재계산-회사반영)</t>
        </is>
      </c>
      <c r="AF1" s="9" t="inlineStr">
        <is>
          <t>회사반영_전기말감가상각누계액</t>
        </is>
      </c>
      <c r="AG1" s="9" t="inlineStr">
        <is>
          <t>재계산_전기말감가상각누계액</t>
        </is>
      </c>
      <c r="AH1" s="9" t="inlineStr">
        <is>
          <t>누계액차이(재계산-회사반영)</t>
        </is>
      </c>
      <c r="AI1" s="10" t="inlineStr">
        <is>
          <t>회사반영_당기말감가상각누계액</t>
        </is>
      </c>
      <c r="AJ1" s="10" t="inlineStr">
        <is>
          <t>재계산_당기말감가상각누계액</t>
        </is>
      </c>
      <c r="AK1" s="10" t="inlineStr">
        <is>
          <t>당기말누계액차이(재계산-회사반영)</t>
        </is>
      </c>
      <c r="AL1" s="11" t="inlineStr">
        <is>
          <t>중요성구분</t>
        </is>
      </c>
      <c r="AM1" s="11" t="inlineStr">
        <is>
          <t>추정원인</t>
        </is>
      </c>
      <c r="AN1" s="11" t="inlineStr">
        <is>
          <t>추정원인출처</t>
        </is>
      </c>
    </row>
    <row r="2">
      <c r="A2" t="inlineStr">
        <is>
          <t>정액법기본자산_유형01</t>
        </is>
      </c>
      <c r="B2" t="inlineStr">
        <is>
          <t>유형자산</t>
        </is>
      </c>
      <c r="C2" s="4" t="n">
        <v>43831</v>
      </c>
      <c r="D2" s="6" t="n">
        <v>10500000</v>
      </c>
      <c r="E2" s="6" t="n">
        <v>0</v>
      </c>
      <c r="F2" t="inlineStr">
        <is>
          <t>정액법</t>
        </is>
      </c>
      <c r="G2" t="n">
        <v>5</v>
      </c>
      <c r="H2" s="12">
        <f>IF(IF(J2&lt;&gt;"",IF(L2&lt;&gt;"",L2,F2),F2)="정률법",VLOOKUP(IF(J2&lt;&gt;"",K2,G2),'상각률표(별표4)'!$A$2:$C$60,3,FALSE),IF(IF(J2&lt;&gt;"",IF(L2&lt;&gt;"",L2,F2),F2)="생산량비례법","-",IF(IF(J2&lt;&gt;"",IF(L2&lt;&gt;"",L2,F2),F2)="이중체감법",2/IF(J2&lt;&gt;"",K2,G2),IF(IF(J2&lt;&gt;"",IF(L2&lt;&gt;"",L2,F2),F2)="연수합계법",(IF(J2&lt;&gt;"",K2,G2)-('기준정보'!$E$3-YEAR(IF(J2&lt;&gt;"",J2,C2))+1)+1)/(IF(J2&lt;&gt;"",K2,G2)*(IF(J2&lt;&gt;"",K2,G2)+1)/2),12/W2))))</f>
        <v/>
      </c>
      <c r="I2" s="4" t="inlineStr"/>
      <c r="J2" s="4" t="inlineStr"/>
      <c r="K2" t="inlineStr"/>
      <c r="L2" t="inlineStr"/>
      <c r="M2" s="6" t="inlineStr"/>
      <c r="N2" s="6" t="inlineStr"/>
      <c r="O2" s="6" t="inlineStr"/>
      <c r="P2" s="6">
        <f>IF(OR(O2="",N2=""),"",O2+N2)</f>
        <v/>
      </c>
      <c r="Q2" s="4" t="inlineStr"/>
      <c r="R2" s="6" t="inlineStr"/>
      <c r="S2" s="4" t="inlineStr"/>
      <c r="T2" s="4" t="inlineStr"/>
      <c r="U2">
        <f>(YEAR('기준정보'!$E$2)-YEAR(C2))*12+MONTH('기준정보'!$E$2)-MONTH(C2)+1</f>
        <v/>
      </c>
      <c r="V2">
        <f>MAX(0,MAX(0,MIN((IF(J2&lt;&gt;"",YEAR(J2)*12+MONTH(J2),YEAR(C2)*12+MONTH(C2))+W2-1),('기준정보'!$E$3*12+12),IF(I2&lt;&gt;"",YEAR(I2)*12+MONTH(I2),9999999))-MAX(IF(J2&lt;&gt;"",YEAR(J2)*12+MONTH(J2),YEAR(C2)*12+MONTH(C2)),('기준정보'!$E$3*12+1))+1)-IF(S2&lt;&gt;"",MAX(0,MIN(MIN((IF(J2&lt;&gt;"",YEAR(J2)*12+MONTH(J2),YEAR(C2)*12+MONTH(C2))+W2-1),('기준정보'!$E$3*12+12),IF(I2&lt;&gt;"",YEAR(I2)*12+MONTH(I2),9999999)),YEAR(T2)*12+MONTH(T2))-MAX(MAX(IF(J2&lt;&gt;"",YEAR(J2)*12+MONTH(J2),YEAR(C2)*12+MONTH(C2)),('기준정보'!$E$3*12+1)),YEAR(S2)*12+MONTH(S2))+1),0))</f>
        <v/>
      </c>
      <c r="W2">
        <f>IF(J2&lt;&gt;"",K2,G2)*12</f>
        <v/>
      </c>
      <c r="X2" s="6" t="n">
        <v>10500000</v>
      </c>
      <c r="Y2" s="6">
        <f>X2-E2</f>
        <v/>
      </c>
      <c r="Z2" s="6" t="n">
        <v>0</v>
      </c>
      <c r="AA2" t="inlineStr">
        <is>
          <t>종료</t>
        </is>
      </c>
      <c r="AB2" t="inlineStr">
        <is>
          <t>내용연수종료</t>
        </is>
      </c>
      <c r="AC2" s="6" t="n">
        <v>0</v>
      </c>
      <c r="AD2" s="6">
        <f>IF(IF(J2&lt;&gt;"",IF(L2&lt;&gt;"",L2,F2),F2)="생산량비례법",(D2-E2)*N2/M2,IF(IF(J2&lt;&gt;"",IF(L2&lt;&gt;"",L2,F2),F2)="정률법",IF(X2-X2*H2*V2/12&lt;=(D2+IF(R2&lt;&gt;"",R2,0))*0.05,Y2,X2*H2*V2/12),IF(IF(J2&lt;&gt;"",IF(L2&lt;&gt;"",L2,F2),F2)="이중체감법",IF(X2-X2*H2*V2/12&lt;=E2,Y2,X2*H2*V2/12),Y2*H2*V2/12)))</f>
        <v/>
      </c>
      <c r="AE2" s="6">
        <f>AD2-AC2</f>
        <v/>
      </c>
      <c r="AF2" s="6" t="n">
        <v>10500000</v>
      </c>
      <c r="AG2" s="6">
        <f>IF(F2="생산량비례법",IF(O2&lt;&gt;"",(D2-E2)*O2/M2,""),(D2+IF(AND(R2&lt;&gt;"",Q2&lt;='기준정보'!$E$4),R2,0))-Z2)</f>
        <v/>
      </c>
      <c r="AH2" s="6">
        <f>AG2-AF2</f>
        <v/>
      </c>
      <c r="AI2" s="6">
        <f>IF(AF2="","",AF2+AC2)</f>
        <v/>
      </c>
      <c r="AJ2" s="6">
        <f>IF(AG2="","",AG2+AD2)</f>
        <v/>
      </c>
      <c r="AK2" s="6">
        <f>AJ2-AI2</f>
        <v/>
      </c>
      <c r="AL2" t="inlineStr">
        <is>
          <t>경미한 차이</t>
        </is>
      </c>
      <c r="AM2" t="inlineStr">
        <is>
          <t>-</t>
        </is>
      </c>
      <c r="AN2" t="inlineStr">
        <is>
          <t>-</t>
        </is>
      </c>
    </row>
    <row r="3">
      <c r="A3" t="inlineStr">
        <is>
          <t>정액법기본자산_유형02</t>
        </is>
      </c>
      <c r="B3" t="inlineStr">
        <is>
          <t>유형자산</t>
        </is>
      </c>
      <c r="C3" s="4" t="n">
        <v>44742</v>
      </c>
      <c r="D3" s="6" t="n">
        <v>11000000</v>
      </c>
      <c r="E3" s="6" t="n">
        <v>0</v>
      </c>
      <c r="F3" t="inlineStr">
        <is>
          <t>정액법</t>
        </is>
      </c>
      <c r="G3" t="n">
        <v>6</v>
      </c>
      <c r="H3" s="12">
        <f>IF(IF(J3&lt;&gt;"",IF(L3&lt;&gt;"",L3,F3),F3)="정률법",VLOOKUP(IF(J3&lt;&gt;"",K3,G3),'상각률표(별표4)'!$A$2:$C$60,3,FALSE),IF(IF(J3&lt;&gt;"",IF(L3&lt;&gt;"",L3,F3),F3)="생산량비례법","-",IF(IF(J3&lt;&gt;"",IF(L3&lt;&gt;"",L3,F3),F3)="이중체감법",2/IF(J3&lt;&gt;"",K3,G3),IF(IF(J3&lt;&gt;"",IF(L3&lt;&gt;"",L3,F3),F3)="연수합계법",(IF(J3&lt;&gt;"",K3,G3)-('기준정보'!$E$3-YEAR(IF(J3&lt;&gt;"",J3,C3))+1)+1)/(IF(J3&lt;&gt;"",K3,G3)*(IF(J3&lt;&gt;"",K3,G3)+1)/2),12/W3))))</f>
        <v/>
      </c>
      <c r="I3" s="4" t="inlineStr"/>
      <c r="J3" s="4" t="inlineStr"/>
      <c r="K3" t="inlineStr"/>
      <c r="L3" t="inlineStr"/>
      <c r="M3" s="6" t="inlineStr"/>
      <c r="N3" s="6" t="inlineStr"/>
      <c r="O3" s="6" t="inlineStr"/>
      <c r="P3" s="6">
        <f>IF(OR(O3="",N3=""),"",O3+N3)</f>
        <v/>
      </c>
      <c r="Q3" s="4" t="inlineStr"/>
      <c r="R3" s="6" t="inlineStr"/>
      <c r="S3" s="4" t="inlineStr"/>
      <c r="T3" s="4" t="inlineStr"/>
      <c r="U3">
        <f>(YEAR('기준정보'!$E$2)-YEAR(C3))*12+MONTH('기준정보'!$E$2)-MONTH(C3)+1</f>
        <v/>
      </c>
      <c r="V3">
        <f>MAX(0,MAX(0,MIN((IF(J3&lt;&gt;"",YEAR(J3)*12+MONTH(J3),YEAR(C3)*12+MONTH(C3))+W3-1),('기준정보'!$E$3*12+12),IF(I3&lt;&gt;"",YEAR(I3)*12+MONTH(I3),9999999))-MAX(IF(J3&lt;&gt;"",YEAR(J3)*12+MONTH(J3),YEAR(C3)*12+MONTH(C3)),('기준정보'!$E$3*12+1))+1)-IF(S3&lt;&gt;"",MAX(0,MIN(MIN((IF(J3&lt;&gt;"",YEAR(J3)*12+MONTH(J3),YEAR(C3)*12+MONTH(C3))+W3-1),('기준정보'!$E$3*12+12),IF(I3&lt;&gt;"",YEAR(I3)*12+MONTH(I3),9999999)),YEAR(T3)*12+MONTH(T3))-MAX(MAX(IF(J3&lt;&gt;"",YEAR(J3)*12+MONTH(J3),YEAR(C3)*12+MONTH(C3)),('기준정보'!$E$3*12+1)),YEAR(S3)*12+MONTH(S3))+1),0))</f>
        <v/>
      </c>
      <c r="W3">
        <f>IF(J3&lt;&gt;"",K3,G3)*12</f>
        <v/>
      </c>
      <c r="X3" s="6" t="n">
        <v>11000000</v>
      </c>
      <c r="Y3" s="6">
        <f>X3-E3</f>
        <v/>
      </c>
      <c r="Z3" s="6" t="n">
        <v>6263888.888888889</v>
      </c>
      <c r="AA3" t="inlineStr">
        <is>
          <t>-</t>
        </is>
      </c>
      <c r="AB3" t="inlineStr">
        <is>
          <t>-</t>
        </is>
      </c>
      <c r="AC3" s="6" t="n">
        <v>1833333</v>
      </c>
      <c r="AD3" s="6">
        <f>IF(IF(J3&lt;&gt;"",IF(L3&lt;&gt;"",L3,F3),F3)="생산량비례법",(D3-E3)*N3/M3,IF(IF(J3&lt;&gt;"",IF(L3&lt;&gt;"",L3,F3),F3)="정률법",IF(X3-X3*H3*V3/12&lt;=(D3+IF(R3&lt;&gt;"",R3,0))*0.05,Y3,X3*H3*V3/12),IF(IF(J3&lt;&gt;"",IF(L3&lt;&gt;"",L3,F3),F3)="이중체감법",IF(X3-X3*H3*V3/12&lt;=E3,Y3,X3*H3*V3/12),Y3*H3*V3/12)))</f>
        <v/>
      </c>
      <c r="AE3" s="6">
        <f>AD3-AC3</f>
        <v/>
      </c>
      <c r="AF3" s="6" t="n">
        <v>4736110</v>
      </c>
      <c r="AG3" s="6">
        <f>IF(F3="생산량비례법",IF(O3&lt;&gt;"",(D3-E3)*O3/M3,""),(D3+IF(AND(R3&lt;&gt;"",Q3&lt;='기준정보'!$E$4),R3,0))-Z3)</f>
        <v/>
      </c>
      <c r="AH3" s="6">
        <f>AG3-AF3</f>
        <v/>
      </c>
      <c r="AI3" s="6">
        <f>IF(AF3="","",AF3+AC3)</f>
        <v/>
      </c>
      <c r="AJ3" s="6">
        <f>IF(AG3="","",AG3+AD3)</f>
        <v/>
      </c>
      <c r="AK3" s="6">
        <f>AJ3-AI3</f>
        <v/>
      </c>
      <c r="AL3" t="inlineStr">
        <is>
          <t>경미한 차이</t>
        </is>
      </c>
      <c r="AM3" t="inlineStr">
        <is>
          <t>-</t>
        </is>
      </c>
      <c r="AN3" t="inlineStr">
        <is>
          <t>-</t>
        </is>
      </c>
    </row>
    <row r="4">
      <c r="A4" t="inlineStr">
        <is>
          <t>정액법기본자산_유형03</t>
        </is>
      </c>
      <c r="B4" t="inlineStr">
        <is>
          <t>유형자산</t>
        </is>
      </c>
      <c r="C4" s="4" t="n">
        <v>45108</v>
      </c>
      <c r="D4" s="6" t="n">
        <v>11500000</v>
      </c>
      <c r="E4" s="6" t="n">
        <v>0</v>
      </c>
      <c r="F4" t="inlineStr">
        <is>
          <t>정액법</t>
        </is>
      </c>
      <c r="G4" t="n">
        <v>8</v>
      </c>
      <c r="H4" s="12">
        <f>IF(IF(J4&lt;&gt;"",IF(L4&lt;&gt;"",L4,F4),F4)="정률법",VLOOKUP(IF(J4&lt;&gt;"",K4,G4),'상각률표(별표4)'!$A$2:$C$60,3,FALSE),IF(IF(J4&lt;&gt;"",IF(L4&lt;&gt;"",L4,F4),F4)="생산량비례법","-",IF(IF(J4&lt;&gt;"",IF(L4&lt;&gt;"",L4,F4),F4)="이중체감법",2/IF(J4&lt;&gt;"",K4,G4),IF(IF(J4&lt;&gt;"",IF(L4&lt;&gt;"",L4,F4),F4)="연수합계법",(IF(J4&lt;&gt;"",K4,G4)-('기준정보'!$E$3-YEAR(IF(J4&lt;&gt;"",J4,C4))+1)+1)/(IF(J4&lt;&gt;"",K4,G4)*(IF(J4&lt;&gt;"",K4,G4)+1)/2),12/W4))))</f>
        <v/>
      </c>
      <c r="I4" s="4" t="inlineStr"/>
      <c r="J4" s="4" t="inlineStr"/>
      <c r="K4" t="inlineStr"/>
      <c r="L4" t="inlineStr"/>
      <c r="M4" s="6" t="inlineStr"/>
      <c r="N4" s="6" t="inlineStr"/>
      <c r="O4" s="6" t="inlineStr"/>
      <c r="P4" s="6">
        <f>IF(OR(O4="",N4=""),"",O4+N4)</f>
        <v/>
      </c>
      <c r="Q4" s="4" t="inlineStr"/>
      <c r="R4" s="6" t="inlineStr"/>
      <c r="S4" s="4" t="inlineStr"/>
      <c r="T4" s="4" t="inlineStr"/>
      <c r="U4">
        <f>(YEAR('기준정보'!$E$2)-YEAR(C4))*12+MONTH('기준정보'!$E$2)-MONTH(C4)+1</f>
        <v/>
      </c>
      <c r="V4">
        <f>MAX(0,MAX(0,MIN((IF(J4&lt;&gt;"",YEAR(J4)*12+MONTH(J4),YEAR(C4)*12+MONTH(C4))+W4-1),('기준정보'!$E$3*12+12),IF(I4&lt;&gt;"",YEAR(I4)*12+MONTH(I4),9999999))-MAX(IF(J4&lt;&gt;"",YEAR(J4)*12+MONTH(J4),YEAR(C4)*12+MONTH(C4)),('기준정보'!$E$3*12+1))+1)-IF(S4&lt;&gt;"",MAX(0,MIN(MIN((IF(J4&lt;&gt;"",YEAR(J4)*12+MONTH(J4),YEAR(C4)*12+MONTH(C4))+W4-1),('기준정보'!$E$3*12+12),IF(I4&lt;&gt;"",YEAR(I4)*12+MONTH(I4),9999999)),YEAR(T4)*12+MONTH(T4))-MAX(MAX(IF(J4&lt;&gt;"",YEAR(J4)*12+MONTH(J4),YEAR(C4)*12+MONTH(C4)),('기준정보'!$E$3*12+1)),YEAR(S4)*12+MONTH(S4))+1),0))</f>
        <v/>
      </c>
      <c r="W4">
        <f>IF(J4&lt;&gt;"",K4,G4)*12</f>
        <v/>
      </c>
      <c r="X4" s="6" t="n">
        <v>11500000</v>
      </c>
      <c r="Y4" s="6">
        <f>X4-E4</f>
        <v/>
      </c>
      <c r="Z4" s="6" t="n">
        <v>9343750</v>
      </c>
      <c r="AA4" t="inlineStr">
        <is>
          <t>-</t>
        </is>
      </c>
      <c r="AB4" t="inlineStr">
        <is>
          <t>-</t>
        </is>
      </c>
      <c r="AC4" s="6" t="n">
        <v>1437500</v>
      </c>
      <c r="AD4" s="6">
        <f>IF(IF(J4&lt;&gt;"",IF(L4&lt;&gt;"",L4,F4),F4)="생산량비례법",(D4-E4)*N4/M4,IF(IF(J4&lt;&gt;"",IF(L4&lt;&gt;"",L4,F4),F4)="정률법",IF(X4-X4*H4*V4/12&lt;=(D4+IF(R4&lt;&gt;"",R4,0))*0.05,Y4,X4*H4*V4/12),IF(IF(J4&lt;&gt;"",IF(L4&lt;&gt;"",L4,F4),F4)="이중체감법",IF(X4-X4*H4*V4/12&lt;=E4,Y4,X4*H4*V4/12),Y4*H4*V4/12)))</f>
        <v/>
      </c>
      <c r="AE4" s="6">
        <f>AD4-AC4</f>
        <v/>
      </c>
      <c r="AF4" s="6" t="n">
        <v>2156250</v>
      </c>
      <c r="AG4" s="6">
        <f>IF(F4="생산량비례법",IF(O4&lt;&gt;"",(D4-E4)*O4/M4,""),(D4+IF(AND(R4&lt;&gt;"",Q4&lt;='기준정보'!$E$4),R4,0))-Z4)</f>
        <v/>
      </c>
      <c r="AH4" s="6">
        <f>AG4-AF4</f>
        <v/>
      </c>
      <c r="AI4" s="6">
        <f>IF(AF4="","",AF4+AC4)</f>
        <v/>
      </c>
      <c r="AJ4" s="6">
        <f>IF(AG4="","",AG4+AD4)</f>
        <v/>
      </c>
      <c r="AK4" s="6">
        <f>AJ4-AI4</f>
        <v/>
      </c>
      <c r="AL4" t="inlineStr">
        <is>
          <t>경미한 차이</t>
        </is>
      </c>
      <c r="AM4" t="inlineStr">
        <is>
          <t>-</t>
        </is>
      </c>
      <c r="AN4" t="inlineStr">
        <is>
          <t>-</t>
        </is>
      </c>
    </row>
    <row r="5">
      <c r="A5" t="inlineStr">
        <is>
          <t>정액법기본자산_유형04</t>
        </is>
      </c>
      <c r="B5" t="inlineStr">
        <is>
          <t>유형자산</t>
        </is>
      </c>
      <c r="C5" s="4" t="n">
        <v>45627</v>
      </c>
      <c r="D5" s="6" t="n">
        <v>12000000</v>
      </c>
      <c r="E5" s="6" t="n">
        <v>0</v>
      </c>
      <c r="F5" t="inlineStr">
        <is>
          <t>정액법</t>
        </is>
      </c>
      <c r="G5" t="n">
        <v>10</v>
      </c>
      <c r="H5" s="12">
        <f>IF(IF(J5&lt;&gt;"",IF(L5&lt;&gt;"",L5,F5),F5)="정률법",VLOOKUP(IF(J5&lt;&gt;"",K5,G5),'상각률표(별표4)'!$A$2:$C$60,3,FALSE),IF(IF(J5&lt;&gt;"",IF(L5&lt;&gt;"",L5,F5),F5)="생산량비례법","-",IF(IF(J5&lt;&gt;"",IF(L5&lt;&gt;"",L5,F5),F5)="이중체감법",2/IF(J5&lt;&gt;"",K5,G5),IF(IF(J5&lt;&gt;"",IF(L5&lt;&gt;"",L5,F5),F5)="연수합계법",(IF(J5&lt;&gt;"",K5,G5)-('기준정보'!$E$3-YEAR(IF(J5&lt;&gt;"",J5,C5))+1)+1)/(IF(J5&lt;&gt;"",K5,G5)*(IF(J5&lt;&gt;"",K5,G5)+1)/2),12/W5))))</f>
        <v/>
      </c>
      <c r="I5" s="4" t="inlineStr"/>
      <c r="J5" s="4" t="inlineStr"/>
      <c r="K5" t="inlineStr"/>
      <c r="L5" t="inlineStr"/>
      <c r="M5" s="6" t="inlineStr"/>
      <c r="N5" s="6" t="inlineStr"/>
      <c r="O5" s="6" t="inlineStr"/>
      <c r="P5" s="6">
        <f>IF(OR(O5="",N5=""),"",O5+N5)</f>
        <v/>
      </c>
      <c r="Q5" s="4" t="inlineStr"/>
      <c r="R5" s="6" t="inlineStr"/>
      <c r="S5" s="4" t="inlineStr"/>
      <c r="T5" s="4" t="inlineStr"/>
      <c r="U5">
        <f>(YEAR('기준정보'!$E$2)-YEAR(C5))*12+MONTH('기준정보'!$E$2)-MONTH(C5)+1</f>
        <v/>
      </c>
      <c r="V5">
        <f>MAX(0,MAX(0,MIN((IF(J5&lt;&gt;"",YEAR(J5)*12+MONTH(J5),YEAR(C5)*12+MONTH(C5))+W5-1),('기준정보'!$E$3*12+12),IF(I5&lt;&gt;"",YEAR(I5)*12+MONTH(I5),9999999))-MAX(IF(J5&lt;&gt;"",YEAR(J5)*12+MONTH(J5),YEAR(C5)*12+MONTH(C5)),('기준정보'!$E$3*12+1))+1)-IF(S5&lt;&gt;"",MAX(0,MIN(MIN((IF(J5&lt;&gt;"",YEAR(J5)*12+MONTH(J5),YEAR(C5)*12+MONTH(C5))+W5-1),('기준정보'!$E$3*12+12),IF(I5&lt;&gt;"",YEAR(I5)*12+MONTH(I5),9999999)),YEAR(T5)*12+MONTH(T5))-MAX(MAX(IF(J5&lt;&gt;"",YEAR(J5)*12+MONTH(J5),YEAR(C5)*12+MONTH(C5)),('기준정보'!$E$3*12+1)),YEAR(S5)*12+MONTH(S5))+1),0))</f>
        <v/>
      </c>
      <c r="W5">
        <f>IF(J5&lt;&gt;"",K5,G5)*12</f>
        <v/>
      </c>
      <c r="X5" s="6" t="n">
        <v>12000000</v>
      </c>
      <c r="Y5" s="6">
        <f>X5-E5</f>
        <v/>
      </c>
      <c r="Z5" s="6" t="n">
        <v>11900000</v>
      </c>
      <c r="AA5" t="inlineStr">
        <is>
          <t>-</t>
        </is>
      </c>
      <c r="AB5" t="inlineStr">
        <is>
          <t>-</t>
        </is>
      </c>
      <c r="AC5" s="6" t="n">
        <v>1200000</v>
      </c>
      <c r="AD5" s="6">
        <f>IF(IF(J5&lt;&gt;"",IF(L5&lt;&gt;"",L5,F5),F5)="생산량비례법",(D5-E5)*N5/M5,IF(IF(J5&lt;&gt;"",IF(L5&lt;&gt;"",L5,F5),F5)="정률법",IF(X5-X5*H5*V5/12&lt;=(D5+IF(R5&lt;&gt;"",R5,0))*0.05,Y5,X5*H5*V5/12),IF(IF(J5&lt;&gt;"",IF(L5&lt;&gt;"",L5,F5),F5)="이중체감법",IF(X5-X5*H5*V5/12&lt;=E5,Y5,X5*H5*V5/12),Y5*H5*V5/12)))</f>
        <v/>
      </c>
      <c r="AE5" s="6">
        <f>AD5-AC5</f>
        <v/>
      </c>
      <c r="AF5" s="6" t="n">
        <v>100000</v>
      </c>
      <c r="AG5" s="6">
        <f>IF(F5="생산량비례법",IF(O5&lt;&gt;"",(D5-E5)*O5/M5,""),(D5+IF(AND(R5&lt;&gt;"",Q5&lt;='기준정보'!$E$4),R5,0))-Z5)</f>
        <v/>
      </c>
      <c r="AH5" s="6">
        <f>AG5-AF5</f>
        <v/>
      </c>
      <c r="AI5" s="6">
        <f>IF(AF5="","",AF5+AC5)</f>
        <v/>
      </c>
      <c r="AJ5" s="6">
        <f>IF(AG5="","",AG5+AD5)</f>
        <v/>
      </c>
      <c r="AK5" s="6">
        <f>AJ5-AI5</f>
        <v/>
      </c>
      <c r="AL5" t="inlineStr">
        <is>
          <t>경미한 차이</t>
        </is>
      </c>
      <c r="AM5" t="inlineStr">
        <is>
          <t>-</t>
        </is>
      </c>
      <c r="AN5" t="inlineStr">
        <is>
          <t>-</t>
        </is>
      </c>
    </row>
    <row r="6">
      <c r="A6" t="inlineStr">
        <is>
          <t>정액법기본자산_유형05</t>
        </is>
      </c>
      <c r="B6" t="inlineStr">
        <is>
          <t>유형자산</t>
        </is>
      </c>
      <c r="C6" s="4" t="n">
        <v>44270</v>
      </c>
      <c r="D6" s="6" t="n">
        <v>12500000</v>
      </c>
      <c r="E6" s="6" t="n">
        <v>0</v>
      </c>
      <c r="F6" t="inlineStr">
        <is>
          <t>정액법</t>
        </is>
      </c>
      <c r="G6" t="n">
        <v>4</v>
      </c>
      <c r="H6" s="12">
        <f>IF(IF(J6&lt;&gt;"",IF(L6&lt;&gt;"",L6,F6),F6)="정률법",VLOOKUP(IF(J6&lt;&gt;"",K6,G6),'상각률표(별표4)'!$A$2:$C$60,3,FALSE),IF(IF(J6&lt;&gt;"",IF(L6&lt;&gt;"",L6,F6),F6)="생산량비례법","-",IF(IF(J6&lt;&gt;"",IF(L6&lt;&gt;"",L6,F6),F6)="이중체감법",2/IF(J6&lt;&gt;"",K6,G6),IF(IF(J6&lt;&gt;"",IF(L6&lt;&gt;"",L6,F6),F6)="연수합계법",(IF(J6&lt;&gt;"",K6,G6)-('기준정보'!$E$3-YEAR(IF(J6&lt;&gt;"",J6,C6))+1)+1)/(IF(J6&lt;&gt;"",K6,G6)*(IF(J6&lt;&gt;"",K6,G6)+1)/2),12/W6))))</f>
        <v/>
      </c>
      <c r="I6" s="4" t="inlineStr"/>
      <c r="J6" s="4" t="inlineStr"/>
      <c r="K6" t="inlineStr"/>
      <c r="L6" t="inlineStr"/>
      <c r="M6" s="6" t="inlineStr"/>
      <c r="N6" s="6" t="inlineStr"/>
      <c r="O6" s="6" t="inlineStr"/>
      <c r="P6" s="6">
        <f>IF(OR(O6="",N6=""),"",O6+N6)</f>
        <v/>
      </c>
      <c r="Q6" s="4" t="inlineStr"/>
      <c r="R6" s="6" t="inlineStr"/>
      <c r="S6" s="4" t="inlineStr"/>
      <c r="T6" s="4" t="inlineStr"/>
      <c r="U6">
        <f>(YEAR('기준정보'!$E$2)-YEAR(C6))*12+MONTH('기준정보'!$E$2)-MONTH(C6)+1</f>
        <v/>
      </c>
      <c r="V6">
        <f>MAX(0,MAX(0,MIN((IF(J6&lt;&gt;"",YEAR(J6)*12+MONTH(J6),YEAR(C6)*12+MONTH(C6))+W6-1),('기준정보'!$E$3*12+12),IF(I6&lt;&gt;"",YEAR(I6)*12+MONTH(I6),9999999))-MAX(IF(J6&lt;&gt;"",YEAR(J6)*12+MONTH(J6),YEAR(C6)*12+MONTH(C6)),('기준정보'!$E$3*12+1))+1)-IF(S6&lt;&gt;"",MAX(0,MIN(MIN((IF(J6&lt;&gt;"",YEAR(J6)*12+MONTH(J6),YEAR(C6)*12+MONTH(C6))+W6-1),('기준정보'!$E$3*12+12),IF(I6&lt;&gt;"",YEAR(I6)*12+MONTH(I6),9999999)),YEAR(T6)*12+MONTH(T6))-MAX(MAX(IF(J6&lt;&gt;"",YEAR(J6)*12+MONTH(J6),YEAR(C6)*12+MONTH(C6)),('기준정보'!$E$3*12+1)),YEAR(S6)*12+MONTH(S6))+1),0))</f>
        <v/>
      </c>
      <c r="W6">
        <f>IF(J6&lt;&gt;"",K6,G6)*12</f>
        <v/>
      </c>
      <c r="X6" s="6" t="n">
        <v>12500000</v>
      </c>
      <c r="Y6" s="6">
        <f>X6-E6</f>
        <v/>
      </c>
      <c r="Z6" s="6" t="n">
        <v>520833.333333334</v>
      </c>
      <c r="AA6" t="inlineStr">
        <is>
          <t>종료</t>
        </is>
      </c>
      <c r="AB6" t="inlineStr">
        <is>
          <t>내용연수종료</t>
        </is>
      </c>
      <c r="AC6" s="6" t="n">
        <v>520833</v>
      </c>
      <c r="AD6" s="6">
        <f>IF(IF(J6&lt;&gt;"",IF(L6&lt;&gt;"",L6,F6),F6)="생산량비례법",(D6-E6)*N6/M6,IF(IF(J6&lt;&gt;"",IF(L6&lt;&gt;"",L6,F6),F6)="정률법",IF(X6-X6*H6*V6/12&lt;=(D6+IF(R6&lt;&gt;"",R6,0))*0.05,Y6,X6*H6*V6/12),IF(IF(J6&lt;&gt;"",IF(L6&lt;&gt;"",L6,F6),F6)="이중체감법",IF(X6-X6*H6*V6/12&lt;=E6,Y6,X6*H6*V6/12),Y6*H6*V6/12)))</f>
        <v/>
      </c>
      <c r="AE6" s="6">
        <f>AD6-AC6</f>
        <v/>
      </c>
      <c r="AF6" s="6" t="n">
        <v>11979167</v>
      </c>
      <c r="AG6" s="6">
        <f>IF(F6="생산량비례법",IF(O6&lt;&gt;"",(D6-E6)*O6/M6,""),(D6+IF(AND(R6&lt;&gt;"",Q6&lt;='기준정보'!$E$4),R6,0))-Z6)</f>
        <v/>
      </c>
      <c r="AH6" s="6">
        <f>AG6-AF6</f>
        <v/>
      </c>
      <c r="AI6" s="6">
        <f>IF(AF6="","",AF6+AC6)</f>
        <v/>
      </c>
      <c r="AJ6" s="6">
        <f>IF(AG6="","",AG6+AD6)</f>
        <v/>
      </c>
      <c r="AK6" s="6">
        <f>AJ6-AI6</f>
        <v/>
      </c>
      <c r="AL6" t="inlineStr">
        <is>
          <t>경미한 차이</t>
        </is>
      </c>
      <c r="AM6" t="inlineStr">
        <is>
          <t>-</t>
        </is>
      </c>
      <c r="AN6" t="inlineStr">
        <is>
          <t>-</t>
        </is>
      </c>
    </row>
    <row r="7">
      <c r="A7" t="inlineStr">
        <is>
          <t>정액법기본자산_유형06</t>
        </is>
      </c>
      <c r="B7" t="inlineStr">
        <is>
          <t>유형자산</t>
        </is>
      </c>
      <c r="C7" s="4" t="n">
        <v>43466</v>
      </c>
      <c r="D7" s="6" t="n">
        <v>13000000</v>
      </c>
      <c r="E7" s="6" t="n">
        <v>0</v>
      </c>
      <c r="F7" t="inlineStr">
        <is>
          <t>정액법</t>
        </is>
      </c>
      <c r="G7" t="n">
        <v>7</v>
      </c>
      <c r="H7" s="12">
        <f>IF(IF(J7&lt;&gt;"",IF(L7&lt;&gt;"",L7,F7),F7)="정률법",VLOOKUP(IF(J7&lt;&gt;"",K7,G7),'상각률표(별표4)'!$A$2:$C$60,3,FALSE),IF(IF(J7&lt;&gt;"",IF(L7&lt;&gt;"",L7,F7),F7)="생산량비례법","-",IF(IF(J7&lt;&gt;"",IF(L7&lt;&gt;"",L7,F7),F7)="이중체감법",2/IF(J7&lt;&gt;"",K7,G7),IF(IF(J7&lt;&gt;"",IF(L7&lt;&gt;"",L7,F7),F7)="연수합계법",(IF(J7&lt;&gt;"",K7,G7)-('기준정보'!$E$3-YEAR(IF(J7&lt;&gt;"",J7,C7))+1)+1)/(IF(J7&lt;&gt;"",K7,G7)*(IF(J7&lt;&gt;"",K7,G7)+1)/2),12/W7))))</f>
        <v/>
      </c>
      <c r="I7" s="4" t="inlineStr"/>
      <c r="J7" s="4" t="inlineStr"/>
      <c r="K7" t="inlineStr"/>
      <c r="L7" t="inlineStr"/>
      <c r="M7" s="6" t="inlineStr"/>
      <c r="N7" s="6" t="inlineStr"/>
      <c r="O7" s="6" t="inlineStr"/>
      <c r="P7" s="6">
        <f>IF(OR(O7="",N7=""),"",O7+N7)</f>
        <v/>
      </c>
      <c r="Q7" s="4" t="inlineStr"/>
      <c r="R7" s="6" t="inlineStr"/>
      <c r="S7" s="4" t="inlineStr"/>
      <c r="T7" s="4" t="inlineStr"/>
      <c r="U7">
        <f>(YEAR('기준정보'!$E$2)-YEAR(C7))*12+MONTH('기준정보'!$E$2)-MONTH(C7)+1</f>
        <v/>
      </c>
      <c r="V7">
        <f>MAX(0,MAX(0,MIN((IF(J7&lt;&gt;"",YEAR(J7)*12+MONTH(J7),YEAR(C7)*12+MONTH(C7))+W7-1),('기준정보'!$E$3*12+12),IF(I7&lt;&gt;"",YEAR(I7)*12+MONTH(I7),9999999))-MAX(IF(J7&lt;&gt;"",YEAR(J7)*12+MONTH(J7),YEAR(C7)*12+MONTH(C7)),('기준정보'!$E$3*12+1))+1)-IF(S7&lt;&gt;"",MAX(0,MIN(MIN((IF(J7&lt;&gt;"",YEAR(J7)*12+MONTH(J7),YEAR(C7)*12+MONTH(C7))+W7-1),('기준정보'!$E$3*12+12),IF(I7&lt;&gt;"",YEAR(I7)*12+MONTH(I7),9999999)),YEAR(T7)*12+MONTH(T7))-MAX(MAX(IF(J7&lt;&gt;"",YEAR(J7)*12+MONTH(J7),YEAR(C7)*12+MONTH(C7)),('기준정보'!$E$3*12+1)),YEAR(S7)*12+MONTH(S7))+1),0))</f>
        <v/>
      </c>
      <c r="W7">
        <f>IF(J7&lt;&gt;"",K7,G7)*12</f>
        <v/>
      </c>
      <c r="X7" s="6" t="n">
        <v>13000000</v>
      </c>
      <c r="Y7" s="6">
        <f>X7-E7</f>
        <v/>
      </c>
      <c r="Z7" s="6" t="n">
        <v>1857142.857142856</v>
      </c>
      <c r="AA7" t="inlineStr">
        <is>
          <t>-</t>
        </is>
      </c>
      <c r="AB7" t="inlineStr">
        <is>
          <t>-</t>
        </is>
      </c>
      <c r="AC7" s="6" t="n">
        <v>1857143</v>
      </c>
      <c r="AD7" s="6">
        <f>IF(IF(J7&lt;&gt;"",IF(L7&lt;&gt;"",L7,F7),F7)="생산량비례법",(D7-E7)*N7/M7,IF(IF(J7&lt;&gt;"",IF(L7&lt;&gt;"",L7,F7),F7)="정률법",IF(X7-X7*H7*V7/12&lt;=(D7+IF(R7&lt;&gt;"",R7,0))*0.05,Y7,X7*H7*V7/12),IF(IF(J7&lt;&gt;"",IF(L7&lt;&gt;"",L7,F7),F7)="이중체감법",IF(X7-X7*H7*V7/12&lt;=E7,Y7,X7*H7*V7/12),Y7*H7*V7/12)))</f>
        <v/>
      </c>
      <c r="AE7" s="6">
        <f>AD7-AC7</f>
        <v/>
      </c>
      <c r="AF7" s="6" t="n">
        <v>11142858</v>
      </c>
      <c r="AG7" s="6">
        <f>IF(F7="생산량비례법",IF(O7&lt;&gt;"",(D7-E7)*O7/M7,""),(D7+IF(AND(R7&lt;&gt;"",Q7&lt;='기준정보'!$E$4),R7,0))-Z7)</f>
        <v/>
      </c>
      <c r="AH7" s="6">
        <f>AG7-AF7</f>
        <v/>
      </c>
      <c r="AI7" s="6">
        <f>IF(AF7="","",AF7+AC7)</f>
        <v/>
      </c>
      <c r="AJ7" s="6">
        <f>IF(AG7="","",AG7+AD7)</f>
        <v/>
      </c>
      <c r="AK7" s="6">
        <f>AJ7-AI7</f>
        <v/>
      </c>
      <c r="AL7" t="inlineStr">
        <is>
          <t>경미한 차이</t>
        </is>
      </c>
      <c r="AM7" t="inlineStr">
        <is>
          <t>-</t>
        </is>
      </c>
      <c r="AN7" t="inlineStr">
        <is>
          <t>-</t>
        </is>
      </c>
    </row>
    <row r="8">
      <c r="A8" t="inlineStr">
        <is>
          <t>정액법기본자산_유형07</t>
        </is>
      </c>
      <c r="B8" t="inlineStr">
        <is>
          <t>유형자산</t>
        </is>
      </c>
      <c r="C8" s="4" t="n">
        <v>45658</v>
      </c>
      <c r="D8" s="6" t="n">
        <v>13500000</v>
      </c>
      <c r="E8" s="6" t="n">
        <v>0</v>
      </c>
      <c r="F8" t="inlineStr">
        <is>
          <t>정액법</t>
        </is>
      </c>
      <c r="G8" t="n">
        <v>5</v>
      </c>
      <c r="H8" s="12">
        <f>IF(IF(J8&lt;&gt;"",IF(L8&lt;&gt;"",L8,F8),F8)="정률법",VLOOKUP(IF(J8&lt;&gt;"",K8,G8),'상각률표(별표4)'!$A$2:$C$60,3,FALSE),IF(IF(J8&lt;&gt;"",IF(L8&lt;&gt;"",L8,F8),F8)="생산량비례법","-",IF(IF(J8&lt;&gt;"",IF(L8&lt;&gt;"",L8,F8),F8)="이중체감법",2/IF(J8&lt;&gt;"",K8,G8),IF(IF(J8&lt;&gt;"",IF(L8&lt;&gt;"",L8,F8),F8)="연수합계법",(IF(J8&lt;&gt;"",K8,G8)-('기준정보'!$E$3-YEAR(IF(J8&lt;&gt;"",J8,C8))+1)+1)/(IF(J8&lt;&gt;"",K8,G8)*(IF(J8&lt;&gt;"",K8,G8)+1)/2),12/W8))))</f>
        <v/>
      </c>
      <c r="I8" s="4" t="inlineStr"/>
      <c r="J8" s="4" t="inlineStr"/>
      <c r="K8" t="inlineStr"/>
      <c r="L8" t="inlineStr"/>
      <c r="M8" s="6" t="inlineStr"/>
      <c r="N8" s="6" t="inlineStr"/>
      <c r="O8" s="6" t="inlineStr"/>
      <c r="P8" s="6">
        <f>IF(OR(O8="",N8=""),"",O8+N8)</f>
        <v/>
      </c>
      <c r="Q8" s="4" t="inlineStr"/>
      <c r="R8" s="6" t="inlineStr"/>
      <c r="S8" s="4" t="inlineStr"/>
      <c r="T8" s="4" t="inlineStr"/>
      <c r="U8">
        <f>(YEAR('기준정보'!$E$2)-YEAR(C8))*12+MONTH('기준정보'!$E$2)-MONTH(C8)+1</f>
        <v/>
      </c>
      <c r="V8">
        <f>MAX(0,MAX(0,MIN((IF(J8&lt;&gt;"",YEAR(J8)*12+MONTH(J8),YEAR(C8)*12+MONTH(C8))+W8-1),('기준정보'!$E$3*12+12),IF(I8&lt;&gt;"",YEAR(I8)*12+MONTH(I8),9999999))-MAX(IF(J8&lt;&gt;"",YEAR(J8)*12+MONTH(J8),YEAR(C8)*12+MONTH(C8)),('기준정보'!$E$3*12+1))+1)-IF(S8&lt;&gt;"",MAX(0,MIN(MIN((IF(J8&lt;&gt;"",YEAR(J8)*12+MONTH(J8),YEAR(C8)*12+MONTH(C8))+W8-1),('기준정보'!$E$3*12+12),IF(I8&lt;&gt;"",YEAR(I8)*12+MONTH(I8),9999999)),YEAR(T8)*12+MONTH(T8))-MAX(MAX(IF(J8&lt;&gt;"",YEAR(J8)*12+MONTH(J8),YEAR(C8)*12+MONTH(C8)),('기준정보'!$E$3*12+1)),YEAR(S8)*12+MONTH(S8))+1),0))</f>
        <v/>
      </c>
      <c r="W8">
        <f>IF(J8&lt;&gt;"",K8,G8)*12</f>
        <v/>
      </c>
      <c r="X8" s="6" t="n">
        <v>13500000</v>
      </c>
      <c r="Y8" s="6">
        <f>X8-E8</f>
        <v/>
      </c>
      <c r="Z8" s="6" t="n">
        <v>13500000</v>
      </c>
      <c r="AA8" t="inlineStr">
        <is>
          <t>-</t>
        </is>
      </c>
      <c r="AB8" t="inlineStr">
        <is>
          <t>-</t>
        </is>
      </c>
      <c r="AC8" s="6" t="n">
        <v>2700000</v>
      </c>
      <c r="AD8" s="6">
        <f>IF(IF(J8&lt;&gt;"",IF(L8&lt;&gt;"",L8,F8),F8)="생산량비례법",(D8-E8)*N8/M8,IF(IF(J8&lt;&gt;"",IF(L8&lt;&gt;"",L8,F8),F8)="정률법",IF(X8-X8*H8*V8/12&lt;=(D8+IF(R8&lt;&gt;"",R8,0))*0.05,Y8,X8*H8*V8/12),IF(IF(J8&lt;&gt;"",IF(L8&lt;&gt;"",L8,F8),F8)="이중체감법",IF(X8-X8*H8*V8/12&lt;=E8,Y8,X8*H8*V8/12),Y8*H8*V8/12)))</f>
        <v/>
      </c>
      <c r="AE8" s="6">
        <f>AD8-AC8</f>
        <v/>
      </c>
      <c r="AF8" s="6" t="n">
        <v>0</v>
      </c>
      <c r="AG8" s="6">
        <f>IF(F8="생산량비례법",IF(O8&lt;&gt;"",(D8-E8)*O8/M8,""),(D8+IF(AND(R8&lt;&gt;"",Q8&lt;='기준정보'!$E$4),R8,0))-Z8)</f>
        <v/>
      </c>
      <c r="AH8" s="6">
        <f>AG8-AF8</f>
        <v/>
      </c>
      <c r="AI8" s="6">
        <f>IF(AF8="","",AF8+AC8)</f>
        <v/>
      </c>
      <c r="AJ8" s="6">
        <f>IF(AG8="","",AG8+AD8)</f>
        <v/>
      </c>
      <c r="AK8" s="6">
        <f>AJ8-AI8</f>
        <v/>
      </c>
      <c r="AL8" t="inlineStr">
        <is>
          <t>경미한 차이</t>
        </is>
      </c>
      <c r="AM8" t="inlineStr">
        <is>
          <t>-</t>
        </is>
      </c>
      <c r="AN8" t="inlineStr">
        <is>
          <t>-</t>
        </is>
      </c>
    </row>
    <row r="9">
      <c r="A9" t="inlineStr">
        <is>
          <t>정액법기본자산_유형08</t>
        </is>
      </c>
      <c r="B9" t="inlineStr">
        <is>
          <t>유형자산</t>
        </is>
      </c>
      <c r="C9" s="4" t="n">
        <v>43221</v>
      </c>
      <c r="D9" s="6" t="n">
        <v>14000000</v>
      </c>
      <c r="E9" s="6" t="n">
        <v>0</v>
      </c>
      <c r="F9" t="inlineStr">
        <is>
          <t>정액법</t>
        </is>
      </c>
      <c r="G9" t="n">
        <v>12</v>
      </c>
      <c r="H9" s="12">
        <f>IF(IF(J9&lt;&gt;"",IF(L9&lt;&gt;"",L9,F9),F9)="정률법",VLOOKUP(IF(J9&lt;&gt;"",K9,G9),'상각률표(별표4)'!$A$2:$C$60,3,FALSE),IF(IF(J9&lt;&gt;"",IF(L9&lt;&gt;"",L9,F9),F9)="생산량비례법","-",IF(IF(J9&lt;&gt;"",IF(L9&lt;&gt;"",L9,F9),F9)="이중체감법",2/IF(J9&lt;&gt;"",K9,G9),IF(IF(J9&lt;&gt;"",IF(L9&lt;&gt;"",L9,F9),F9)="연수합계법",(IF(J9&lt;&gt;"",K9,G9)-('기준정보'!$E$3-YEAR(IF(J9&lt;&gt;"",J9,C9))+1)+1)/(IF(J9&lt;&gt;"",K9,G9)*(IF(J9&lt;&gt;"",K9,G9)+1)/2),12/W9))))</f>
        <v/>
      </c>
      <c r="I9" s="4" t="inlineStr"/>
      <c r="J9" s="4" t="inlineStr"/>
      <c r="K9" t="inlineStr"/>
      <c r="L9" t="inlineStr"/>
      <c r="M9" s="6" t="inlineStr"/>
      <c r="N9" s="6" t="inlineStr"/>
      <c r="O9" s="6" t="inlineStr"/>
      <c r="P9" s="6">
        <f>IF(OR(O9="",N9=""),"",O9+N9)</f>
        <v/>
      </c>
      <c r="Q9" s="4" t="inlineStr"/>
      <c r="R9" s="6" t="inlineStr"/>
      <c r="S9" s="4" t="inlineStr"/>
      <c r="T9" s="4" t="inlineStr"/>
      <c r="U9">
        <f>(YEAR('기준정보'!$E$2)-YEAR(C9))*12+MONTH('기준정보'!$E$2)-MONTH(C9)+1</f>
        <v/>
      </c>
      <c r="V9">
        <f>MAX(0,MAX(0,MIN((IF(J9&lt;&gt;"",YEAR(J9)*12+MONTH(J9),YEAR(C9)*12+MONTH(C9))+W9-1),('기준정보'!$E$3*12+12),IF(I9&lt;&gt;"",YEAR(I9)*12+MONTH(I9),9999999))-MAX(IF(J9&lt;&gt;"",YEAR(J9)*12+MONTH(J9),YEAR(C9)*12+MONTH(C9)),('기준정보'!$E$3*12+1))+1)-IF(S9&lt;&gt;"",MAX(0,MIN(MIN((IF(J9&lt;&gt;"",YEAR(J9)*12+MONTH(J9),YEAR(C9)*12+MONTH(C9))+W9-1),('기준정보'!$E$3*12+12),IF(I9&lt;&gt;"",YEAR(I9)*12+MONTH(I9),9999999)),YEAR(T9)*12+MONTH(T9))-MAX(MAX(IF(J9&lt;&gt;"",YEAR(J9)*12+MONTH(J9),YEAR(C9)*12+MONTH(C9)),('기준정보'!$E$3*12+1)),YEAR(S9)*12+MONTH(S9))+1),0))</f>
        <v/>
      </c>
      <c r="W9">
        <f>IF(J9&lt;&gt;"",K9,G9)*12</f>
        <v/>
      </c>
      <c r="X9" s="6" t="n">
        <v>14000000</v>
      </c>
      <c r="Y9" s="6">
        <f>X9-E9</f>
        <v/>
      </c>
      <c r="Z9" s="6" t="n">
        <v>6222222.222222222</v>
      </c>
      <c r="AA9" t="inlineStr">
        <is>
          <t>-</t>
        </is>
      </c>
      <c r="AB9" t="inlineStr">
        <is>
          <t>-</t>
        </is>
      </c>
      <c r="AC9" s="6" t="n">
        <v>1166667</v>
      </c>
      <c r="AD9" s="6">
        <f>IF(IF(J9&lt;&gt;"",IF(L9&lt;&gt;"",L9,F9),F9)="생산량비례법",(D9-E9)*N9/M9,IF(IF(J9&lt;&gt;"",IF(L9&lt;&gt;"",L9,F9),F9)="정률법",IF(X9-X9*H9*V9/12&lt;=(D9+IF(R9&lt;&gt;"",R9,0))*0.05,Y9,X9*H9*V9/12),IF(IF(J9&lt;&gt;"",IF(L9&lt;&gt;"",L9,F9),F9)="이중체감법",IF(X9-X9*H9*V9/12&lt;=E9,Y9,X9*H9*V9/12),Y9*H9*V9/12)))</f>
        <v/>
      </c>
      <c r="AE9" s="6">
        <f>AD9-AC9</f>
        <v/>
      </c>
      <c r="AF9" s="6" t="n">
        <v>7777780</v>
      </c>
      <c r="AG9" s="6">
        <f>IF(F9="생산량비례법",IF(O9&lt;&gt;"",(D9-E9)*O9/M9,""),(D9+IF(AND(R9&lt;&gt;"",Q9&lt;='기준정보'!$E$4),R9,0))-Z9)</f>
        <v/>
      </c>
      <c r="AH9" s="6">
        <f>AG9-AF9</f>
        <v/>
      </c>
      <c r="AI9" s="6">
        <f>IF(AF9="","",AF9+AC9)</f>
        <v/>
      </c>
      <c r="AJ9" s="6">
        <f>IF(AG9="","",AG9+AD9)</f>
        <v/>
      </c>
      <c r="AK9" s="6">
        <f>AJ9-AI9</f>
        <v/>
      </c>
      <c r="AL9" t="inlineStr">
        <is>
          <t>경미한 차이</t>
        </is>
      </c>
      <c r="AM9" t="inlineStr">
        <is>
          <t>-</t>
        </is>
      </c>
      <c r="AN9" t="inlineStr">
        <is>
          <t>-</t>
        </is>
      </c>
    </row>
    <row r="10">
      <c r="A10" t="inlineStr">
        <is>
          <t>정액법기본자산_무형01</t>
        </is>
      </c>
      <c r="B10" t="inlineStr">
        <is>
          <t>무형자산</t>
        </is>
      </c>
      <c r="C10" s="4" t="n">
        <v>43831</v>
      </c>
      <c r="D10" s="6" t="n">
        <v>8300000</v>
      </c>
      <c r="E10" s="6" t="n">
        <v>0</v>
      </c>
      <c r="F10" t="inlineStr">
        <is>
          <t>정액법</t>
        </is>
      </c>
      <c r="G10" t="n">
        <v>5</v>
      </c>
      <c r="H10" s="12">
        <f>IF(IF(J10&lt;&gt;"",IF(L10&lt;&gt;"",L10,F10),F10)="정률법",VLOOKUP(IF(J10&lt;&gt;"",K10,G10),'상각률표(별표4)'!$A$2:$C$60,3,FALSE),IF(IF(J10&lt;&gt;"",IF(L10&lt;&gt;"",L10,F10),F10)="생산량비례법","-",IF(IF(J10&lt;&gt;"",IF(L10&lt;&gt;"",L10,F10),F10)="이중체감법",2/IF(J10&lt;&gt;"",K10,G10),IF(IF(J10&lt;&gt;"",IF(L10&lt;&gt;"",L10,F10),F10)="연수합계법",(IF(J10&lt;&gt;"",K10,G10)-('기준정보'!$E$3-YEAR(IF(J10&lt;&gt;"",J10,C10))+1)+1)/(IF(J10&lt;&gt;"",K10,G10)*(IF(J10&lt;&gt;"",K10,G10)+1)/2),12/W10))))</f>
        <v/>
      </c>
      <c r="I10" s="4" t="inlineStr"/>
      <c r="J10" s="4" t="inlineStr"/>
      <c r="K10" t="inlineStr"/>
      <c r="L10" t="inlineStr"/>
      <c r="M10" s="6" t="inlineStr"/>
      <c r="N10" s="6" t="inlineStr"/>
      <c r="O10" s="6" t="inlineStr"/>
      <c r="P10" s="6">
        <f>IF(OR(O10="",N10=""),"",O10+N10)</f>
        <v/>
      </c>
      <c r="Q10" s="4" t="inlineStr"/>
      <c r="R10" s="6" t="inlineStr"/>
      <c r="S10" s="4" t="inlineStr"/>
      <c r="T10" s="4" t="inlineStr"/>
      <c r="U10">
        <f>(YEAR('기준정보'!$E$2)-YEAR(C10))*12+MONTH('기준정보'!$E$2)-MONTH(C10)+1</f>
        <v/>
      </c>
      <c r="V10">
        <f>MAX(0,MAX(0,MIN((IF(J10&lt;&gt;"",YEAR(J10)*12+MONTH(J10),YEAR(C10)*12+MONTH(C10))+W10-1),('기준정보'!$E$3*12+12),IF(I10&lt;&gt;"",YEAR(I10)*12+MONTH(I10),9999999))-MAX(IF(J10&lt;&gt;"",YEAR(J10)*12+MONTH(J10),YEAR(C10)*12+MONTH(C10)),('기준정보'!$E$3*12+1))+1)-IF(S10&lt;&gt;"",MAX(0,MIN(MIN((IF(J10&lt;&gt;"",YEAR(J10)*12+MONTH(J10),YEAR(C10)*12+MONTH(C10))+W10-1),('기준정보'!$E$3*12+12),IF(I10&lt;&gt;"",YEAR(I10)*12+MONTH(I10),9999999)),YEAR(T10)*12+MONTH(T10))-MAX(MAX(IF(J10&lt;&gt;"",YEAR(J10)*12+MONTH(J10),YEAR(C10)*12+MONTH(C10)),('기준정보'!$E$3*12+1)),YEAR(S10)*12+MONTH(S10))+1),0))</f>
        <v/>
      </c>
      <c r="W10">
        <f>IF(J10&lt;&gt;"",K10,G10)*12</f>
        <v/>
      </c>
      <c r="X10" s="6" t="n">
        <v>8300000</v>
      </c>
      <c r="Y10" s="6">
        <f>X10-E10</f>
        <v/>
      </c>
      <c r="Z10" s="6" t="n">
        <v>-9.313225746154785e-10</v>
      </c>
      <c r="AA10" t="inlineStr">
        <is>
          <t>종료</t>
        </is>
      </c>
      <c r="AB10" t="inlineStr">
        <is>
          <t>내용연수종료</t>
        </is>
      </c>
      <c r="AC10" s="6" t="n">
        <v>0</v>
      </c>
      <c r="AD10" s="6">
        <f>IF(IF(J10&lt;&gt;"",IF(L10&lt;&gt;"",L10,F10),F10)="생산량비례법",(D10-E10)*N10/M10,IF(IF(J10&lt;&gt;"",IF(L10&lt;&gt;"",L10,F10),F10)="정률법",IF(X10-X10*H10*V10/12&lt;=(D10+IF(R10&lt;&gt;"",R10,0))*0.05,Y10,X10*H10*V10/12),IF(IF(J10&lt;&gt;"",IF(L10&lt;&gt;"",L10,F10),F10)="이중체감법",IF(X10-X10*H10*V10/12&lt;=E10,Y10,X10*H10*V10/12),Y10*H10*V10/12)))</f>
        <v/>
      </c>
      <c r="AE10" s="6">
        <f>AD10-AC10</f>
        <v/>
      </c>
      <c r="AF10" s="6" t="n">
        <v>8300000</v>
      </c>
      <c r="AG10" s="6">
        <f>IF(F10="생산량비례법",IF(O10&lt;&gt;"",(D10-E10)*O10/M10,""),(D10+IF(AND(R10&lt;&gt;"",Q10&lt;='기준정보'!$E$4),R10,0))-Z10)</f>
        <v/>
      </c>
      <c r="AH10" s="6">
        <f>AG10-AF10</f>
        <v/>
      </c>
      <c r="AI10" s="6">
        <f>IF(AF10="","",AF10+AC10)</f>
        <v/>
      </c>
      <c r="AJ10" s="6">
        <f>IF(AG10="","",AG10+AD10)</f>
        <v/>
      </c>
      <c r="AK10" s="6">
        <f>AJ10-AI10</f>
        <v/>
      </c>
      <c r="AL10" t="inlineStr">
        <is>
          <t>경미한 차이</t>
        </is>
      </c>
      <c r="AM10" t="inlineStr">
        <is>
          <t>-</t>
        </is>
      </c>
      <c r="AN10" t="inlineStr">
        <is>
          <t>-</t>
        </is>
      </c>
    </row>
    <row r="11">
      <c r="A11" t="inlineStr">
        <is>
          <t>정액법기본자산_무형02</t>
        </is>
      </c>
      <c r="B11" t="inlineStr">
        <is>
          <t>무형자산</t>
        </is>
      </c>
      <c r="C11" s="4" t="n">
        <v>44742</v>
      </c>
      <c r="D11" s="6" t="n">
        <v>8600000</v>
      </c>
      <c r="E11" s="6" t="n">
        <v>0</v>
      </c>
      <c r="F11" t="inlineStr">
        <is>
          <t>정액법</t>
        </is>
      </c>
      <c r="G11" t="n">
        <v>10</v>
      </c>
      <c r="H11" s="12">
        <f>IF(IF(J11&lt;&gt;"",IF(L11&lt;&gt;"",L11,F11),F11)="정률법",VLOOKUP(IF(J11&lt;&gt;"",K11,G11),'상각률표(별표4)'!$A$2:$C$60,3,FALSE),IF(IF(J11&lt;&gt;"",IF(L11&lt;&gt;"",L11,F11),F11)="생산량비례법","-",IF(IF(J11&lt;&gt;"",IF(L11&lt;&gt;"",L11,F11),F11)="이중체감법",2/IF(J11&lt;&gt;"",K11,G11),IF(IF(J11&lt;&gt;"",IF(L11&lt;&gt;"",L11,F11),F11)="연수합계법",(IF(J11&lt;&gt;"",K11,G11)-('기준정보'!$E$3-YEAR(IF(J11&lt;&gt;"",J11,C11))+1)+1)/(IF(J11&lt;&gt;"",K11,G11)*(IF(J11&lt;&gt;"",K11,G11)+1)/2),12/W11))))</f>
        <v/>
      </c>
      <c r="I11" s="4" t="inlineStr"/>
      <c r="J11" s="4" t="inlineStr"/>
      <c r="K11" t="inlineStr"/>
      <c r="L11" t="inlineStr"/>
      <c r="M11" s="6" t="inlineStr"/>
      <c r="N11" s="6" t="inlineStr"/>
      <c r="O11" s="6" t="inlineStr"/>
      <c r="P11" s="6">
        <f>IF(OR(O11="",N11=""),"",O11+N11)</f>
        <v/>
      </c>
      <c r="Q11" s="4" t="inlineStr"/>
      <c r="R11" s="6" t="inlineStr"/>
      <c r="S11" s="4" t="inlineStr"/>
      <c r="T11" s="4" t="inlineStr"/>
      <c r="U11">
        <f>(YEAR('기준정보'!$E$2)-YEAR(C11))*12+MONTH('기준정보'!$E$2)-MONTH(C11)+1</f>
        <v/>
      </c>
      <c r="V11">
        <f>MAX(0,MAX(0,MIN((IF(J11&lt;&gt;"",YEAR(J11)*12+MONTH(J11),YEAR(C11)*12+MONTH(C11))+W11-1),('기준정보'!$E$3*12+12),IF(I11&lt;&gt;"",YEAR(I11)*12+MONTH(I11),9999999))-MAX(IF(J11&lt;&gt;"",YEAR(J11)*12+MONTH(J11),YEAR(C11)*12+MONTH(C11)),('기준정보'!$E$3*12+1))+1)-IF(S11&lt;&gt;"",MAX(0,MIN(MIN((IF(J11&lt;&gt;"",YEAR(J11)*12+MONTH(J11),YEAR(C11)*12+MONTH(C11))+W11-1),('기준정보'!$E$3*12+12),IF(I11&lt;&gt;"",YEAR(I11)*12+MONTH(I11),9999999)),YEAR(T11)*12+MONTH(T11))-MAX(MAX(IF(J11&lt;&gt;"",YEAR(J11)*12+MONTH(J11),YEAR(C11)*12+MONTH(C11)),('기준정보'!$E$3*12+1)),YEAR(S11)*12+MONTH(S11))+1),0))</f>
        <v/>
      </c>
      <c r="W11">
        <f>IF(J11&lt;&gt;"",K11,G11)*12</f>
        <v/>
      </c>
      <c r="X11" s="6" t="n">
        <v>8600000</v>
      </c>
      <c r="Y11" s="6">
        <f>X11-E11</f>
        <v/>
      </c>
      <c r="Z11" s="6" t="n">
        <v>6378333.333333333</v>
      </c>
      <c r="AA11" t="inlineStr">
        <is>
          <t>-</t>
        </is>
      </c>
      <c r="AB11" t="inlineStr">
        <is>
          <t>-</t>
        </is>
      </c>
      <c r="AC11" s="6" t="n">
        <v>860000</v>
      </c>
      <c r="AD11" s="6">
        <f>IF(IF(J11&lt;&gt;"",IF(L11&lt;&gt;"",L11,F11),F11)="생산량비례법",(D11-E11)*N11/M11,IF(IF(J11&lt;&gt;"",IF(L11&lt;&gt;"",L11,F11),F11)="정률법",IF(X11-X11*H11*V11/12&lt;=(D11+IF(R11&lt;&gt;"",R11,0))*0.05,Y11,X11*H11*V11/12),IF(IF(J11&lt;&gt;"",IF(L11&lt;&gt;"",L11,F11),F11)="이중체감법",IF(X11-X11*H11*V11/12&lt;=E11,Y11,X11*H11*V11/12),Y11*H11*V11/12)))</f>
        <v/>
      </c>
      <c r="AE11" s="6">
        <f>AD11-AC11</f>
        <v/>
      </c>
      <c r="AF11" s="6" t="n">
        <v>2221667</v>
      </c>
      <c r="AG11" s="6">
        <f>IF(F11="생산량비례법",IF(O11&lt;&gt;"",(D11-E11)*O11/M11,""),(D11+IF(AND(R11&lt;&gt;"",Q11&lt;='기준정보'!$E$4),R11,0))-Z11)</f>
        <v/>
      </c>
      <c r="AH11" s="6">
        <f>AG11-AF11</f>
        <v/>
      </c>
      <c r="AI11" s="6">
        <f>IF(AF11="","",AF11+AC11)</f>
        <v/>
      </c>
      <c r="AJ11" s="6">
        <f>IF(AG11="","",AG11+AD11)</f>
        <v/>
      </c>
      <c r="AK11" s="6">
        <f>AJ11-AI11</f>
        <v/>
      </c>
      <c r="AL11" t="inlineStr">
        <is>
          <t>경미한 차이</t>
        </is>
      </c>
      <c r="AM11" t="inlineStr">
        <is>
          <t>-</t>
        </is>
      </c>
      <c r="AN11" t="inlineStr">
        <is>
          <t>-</t>
        </is>
      </c>
    </row>
    <row r="12">
      <c r="A12" t="inlineStr">
        <is>
          <t>정액법기본자산_무형03</t>
        </is>
      </c>
      <c r="B12" t="inlineStr">
        <is>
          <t>무형자산</t>
        </is>
      </c>
      <c r="C12" s="4" t="n">
        <v>45108</v>
      </c>
      <c r="D12" s="6" t="n">
        <v>8900000</v>
      </c>
      <c r="E12" s="6" t="n">
        <v>0</v>
      </c>
      <c r="F12" t="inlineStr">
        <is>
          <t>정액법</t>
        </is>
      </c>
      <c r="G12" t="n">
        <v>4</v>
      </c>
      <c r="H12" s="12">
        <f>IF(IF(J12&lt;&gt;"",IF(L12&lt;&gt;"",L12,F12),F12)="정률법",VLOOKUP(IF(J12&lt;&gt;"",K12,G12),'상각률표(별표4)'!$A$2:$C$60,3,FALSE),IF(IF(J12&lt;&gt;"",IF(L12&lt;&gt;"",L12,F12),F12)="생산량비례법","-",IF(IF(J12&lt;&gt;"",IF(L12&lt;&gt;"",L12,F12),F12)="이중체감법",2/IF(J12&lt;&gt;"",K12,G12),IF(IF(J12&lt;&gt;"",IF(L12&lt;&gt;"",L12,F12),F12)="연수합계법",(IF(J12&lt;&gt;"",K12,G12)-('기준정보'!$E$3-YEAR(IF(J12&lt;&gt;"",J12,C12))+1)+1)/(IF(J12&lt;&gt;"",K12,G12)*(IF(J12&lt;&gt;"",K12,G12)+1)/2),12/W12))))</f>
        <v/>
      </c>
      <c r="I12" s="4" t="inlineStr"/>
      <c r="J12" s="4" t="inlineStr"/>
      <c r="K12" t="inlineStr"/>
      <c r="L12" t="inlineStr"/>
      <c r="M12" s="6" t="inlineStr"/>
      <c r="N12" s="6" t="inlineStr"/>
      <c r="O12" s="6" t="inlineStr"/>
      <c r="P12" s="6">
        <f>IF(OR(O12="",N12=""),"",O12+N12)</f>
        <v/>
      </c>
      <c r="Q12" s="4" t="inlineStr"/>
      <c r="R12" s="6" t="inlineStr"/>
      <c r="S12" s="4" t="inlineStr"/>
      <c r="T12" s="4" t="inlineStr"/>
      <c r="U12">
        <f>(YEAR('기준정보'!$E$2)-YEAR(C12))*12+MONTH('기준정보'!$E$2)-MONTH(C12)+1</f>
        <v/>
      </c>
      <c r="V12">
        <f>MAX(0,MAX(0,MIN((IF(J12&lt;&gt;"",YEAR(J12)*12+MONTH(J12),YEAR(C12)*12+MONTH(C12))+W12-1),('기준정보'!$E$3*12+12),IF(I12&lt;&gt;"",YEAR(I12)*12+MONTH(I12),9999999))-MAX(IF(J12&lt;&gt;"",YEAR(J12)*12+MONTH(J12),YEAR(C12)*12+MONTH(C12)),('기준정보'!$E$3*12+1))+1)-IF(S12&lt;&gt;"",MAX(0,MIN(MIN((IF(J12&lt;&gt;"",YEAR(J12)*12+MONTH(J12),YEAR(C12)*12+MONTH(C12))+W12-1),('기준정보'!$E$3*12+12),IF(I12&lt;&gt;"",YEAR(I12)*12+MONTH(I12),9999999)),YEAR(T12)*12+MONTH(T12))-MAX(MAX(IF(J12&lt;&gt;"",YEAR(J12)*12+MONTH(J12),YEAR(C12)*12+MONTH(C12)),('기준정보'!$E$3*12+1)),YEAR(S12)*12+MONTH(S12))+1),0))</f>
        <v/>
      </c>
      <c r="W12">
        <f>IF(J12&lt;&gt;"",K12,G12)*12</f>
        <v/>
      </c>
      <c r="X12" s="6" t="n">
        <v>8900000</v>
      </c>
      <c r="Y12" s="6">
        <f>X12-E12</f>
        <v/>
      </c>
      <c r="Z12" s="6" t="n">
        <v>5562500</v>
      </c>
      <c r="AA12" t="inlineStr">
        <is>
          <t>-</t>
        </is>
      </c>
      <c r="AB12" t="inlineStr">
        <is>
          <t>-</t>
        </is>
      </c>
      <c r="AC12" s="6" t="n">
        <v>2225000</v>
      </c>
      <c r="AD12" s="6">
        <f>IF(IF(J12&lt;&gt;"",IF(L12&lt;&gt;"",L12,F12),F12)="생산량비례법",(D12-E12)*N12/M12,IF(IF(J12&lt;&gt;"",IF(L12&lt;&gt;"",L12,F12),F12)="정률법",IF(X12-X12*H12*V12/12&lt;=(D12+IF(R12&lt;&gt;"",R12,0))*0.05,Y12,X12*H12*V12/12),IF(IF(J12&lt;&gt;"",IF(L12&lt;&gt;"",L12,F12),F12)="이중체감법",IF(X12-X12*H12*V12/12&lt;=E12,Y12,X12*H12*V12/12),Y12*H12*V12/12)))</f>
        <v/>
      </c>
      <c r="AE12" s="6">
        <f>AD12-AC12</f>
        <v/>
      </c>
      <c r="AF12" s="6" t="n">
        <v>3337500</v>
      </c>
      <c r="AG12" s="6">
        <f>IF(F12="생산량비례법",IF(O12&lt;&gt;"",(D12-E12)*O12/M12,""),(D12+IF(AND(R12&lt;&gt;"",Q12&lt;='기준정보'!$E$4),R12,0))-Z12)</f>
        <v/>
      </c>
      <c r="AH12" s="6">
        <f>AG12-AF12</f>
        <v/>
      </c>
      <c r="AI12" s="6">
        <f>IF(AF12="","",AF12+AC12)</f>
        <v/>
      </c>
      <c r="AJ12" s="6">
        <f>IF(AG12="","",AG12+AD12)</f>
        <v/>
      </c>
      <c r="AK12" s="6">
        <f>AJ12-AI12</f>
        <v/>
      </c>
      <c r="AL12" t="inlineStr">
        <is>
          <t>경미한 차이</t>
        </is>
      </c>
      <c r="AM12" t="inlineStr">
        <is>
          <t>-</t>
        </is>
      </c>
      <c r="AN12" t="inlineStr">
        <is>
          <t>-</t>
        </is>
      </c>
    </row>
    <row r="13">
      <c r="A13" t="inlineStr">
        <is>
          <t>정액법기본자산_무형04</t>
        </is>
      </c>
      <c r="B13" t="inlineStr">
        <is>
          <t>무형자산</t>
        </is>
      </c>
      <c r="C13" s="4" t="n">
        <v>45627</v>
      </c>
      <c r="D13" s="6" t="n">
        <v>9200000</v>
      </c>
      <c r="E13" s="6" t="n">
        <v>0</v>
      </c>
      <c r="F13" t="inlineStr">
        <is>
          <t>정액법</t>
        </is>
      </c>
      <c r="G13" t="n">
        <v>7</v>
      </c>
      <c r="H13" s="12">
        <f>IF(IF(J13&lt;&gt;"",IF(L13&lt;&gt;"",L13,F13),F13)="정률법",VLOOKUP(IF(J13&lt;&gt;"",K13,G13),'상각률표(별표4)'!$A$2:$C$60,3,FALSE),IF(IF(J13&lt;&gt;"",IF(L13&lt;&gt;"",L13,F13),F13)="생산량비례법","-",IF(IF(J13&lt;&gt;"",IF(L13&lt;&gt;"",L13,F13),F13)="이중체감법",2/IF(J13&lt;&gt;"",K13,G13),IF(IF(J13&lt;&gt;"",IF(L13&lt;&gt;"",L13,F13),F13)="연수합계법",(IF(J13&lt;&gt;"",K13,G13)-('기준정보'!$E$3-YEAR(IF(J13&lt;&gt;"",J13,C13))+1)+1)/(IF(J13&lt;&gt;"",K13,G13)*(IF(J13&lt;&gt;"",K13,G13)+1)/2),12/W13))))</f>
        <v/>
      </c>
      <c r="I13" s="4" t="inlineStr"/>
      <c r="J13" s="4" t="inlineStr"/>
      <c r="K13" t="inlineStr"/>
      <c r="L13" t="inlineStr"/>
      <c r="M13" s="6" t="inlineStr"/>
      <c r="N13" s="6" t="inlineStr"/>
      <c r="O13" s="6" t="inlineStr"/>
      <c r="P13" s="6">
        <f>IF(OR(O13="",N13=""),"",O13+N13)</f>
        <v/>
      </c>
      <c r="Q13" s="4" t="inlineStr"/>
      <c r="R13" s="6" t="inlineStr"/>
      <c r="S13" s="4" t="inlineStr"/>
      <c r="T13" s="4" t="inlineStr"/>
      <c r="U13">
        <f>(YEAR('기준정보'!$E$2)-YEAR(C13))*12+MONTH('기준정보'!$E$2)-MONTH(C13)+1</f>
        <v/>
      </c>
      <c r="V13">
        <f>MAX(0,MAX(0,MIN((IF(J13&lt;&gt;"",YEAR(J13)*12+MONTH(J13),YEAR(C13)*12+MONTH(C13))+W13-1),('기준정보'!$E$3*12+12),IF(I13&lt;&gt;"",YEAR(I13)*12+MONTH(I13),9999999))-MAX(IF(J13&lt;&gt;"",YEAR(J13)*12+MONTH(J13),YEAR(C13)*12+MONTH(C13)),('기준정보'!$E$3*12+1))+1)-IF(S13&lt;&gt;"",MAX(0,MIN(MIN((IF(J13&lt;&gt;"",YEAR(J13)*12+MONTH(J13),YEAR(C13)*12+MONTH(C13))+W13-1),('기준정보'!$E$3*12+12),IF(I13&lt;&gt;"",YEAR(I13)*12+MONTH(I13),9999999)),YEAR(T13)*12+MONTH(T13))-MAX(MAX(IF(J13&lt;&gt;"",YEAR(J13)*12+MONTH(J13),YEAR(C13)*12+MONTH(C13)),('기준정보'!$E$3*12+1)),YEAR(S13)*12+MONTH(S13))+1),0))</f>
        <v/>
      </c>
      <c r="W13">
        <f>IF(J13&lt;&gt;"",K13,G13)*12</f>
        <v/>
      </c>
      <c r="X13" s="6" t="n">
        <v>9200000</v>
      </c>
      <c r="Y13" s="6">
        <f>X13-E13</f>
        <v/>
      </c>
      <c r="Z13" s="6" t="n">
        <v>9090476.19047619</v>
      </c>
      <c r="AA13" t="inlineStr">
        <is>
          <t>-</t>
        </is>
      </c>
      <c r="AB13" t="inlineStr">
        <is>
          <t>-</t>
        </is>
      </c>
      <c r="AC13" s="6" t="n">
        <v>1314286</v>
      </c>
      <c r="AD13" s="6">
        <f>IF(IF(J13&lt;&gt;"",IF(L13&lt;&gt;"",L13,F13),F13)="생산량비례법",(D13-E13)*N13/M13,IF(IF(J13&lt;&gt;"",IF(L13&lt;&gt;"",L13,F13),F13)="정률법",IF(X13-X13*H13*V13/12&lt;=(D13+IF(R13&lt;&gt;"",R13,0))*0.05,Y13,X13*H13*V13/12),IF(IF(J13&lt;&gt;"",IF(L13&lt;&gt;"",L13,F13),F13)="이중체감법",IF(X13-X13*H13*V13/12&lt;=E13,Y13,X13*H13*V13/12),Y13*H13*V13/12)))</f>
        <v/>
      </c>
      <c r="AE13" s="6">
        <f>AD13-AC13</f>
        <v/>
      </c>
      <c r="AF13" s="6" t="n">
        <v>109524</v>
      </c>
      <c r="AG13" s="6">
        <f>IF(F13="생산량비례법",IF(O13&lt;&gt;"",(D13-E13)*O13/M13,""),(D13+IF(AND(R13&lt;&gt;"",Q13&lt;='기준정보'!$E$4),R13,0))-Z13)</f>
        <v/>
      </c>
      <c r="AH13" s="6">
        <f>AG13-AF13</f>
        <v/>
      </c>
      <c r="AI13" s="6">
        <f>IF(AF13="","",AF13+AC13)</f>
        <v/>
      </c>
      <c r="AJ13" s="6">
        <f>IF(AG13="","",AG13+AD13)</f>
        <v/>
      </c>
      <c r="AK13" s="6">
        <f>AJ13-AI13</f>
        <v/>
      </c>
      <c r="AL13" t="inlineStr">
        <is>
          <t>경미한 차이</t>
        </is>
      </c>
      <c r="AM13" t="inlineStr">
        <is>
          <t>-</t>
        </is>
      </c>
      <c r="AN13" t="inlineStr">
        <is>
          <t>-</t>
        </is>
      </c>
    </row>
    <row r="14">
      <c r="A14" t="inlineStr">
        <is>
          <t>정률법기본자산_유형01</t>
        </is>
      </c>
      <c r="B14" t="inlineStr">
        <is>
          <t>유형자산</t>
        </is>
      </c>
      <c r="C14" s="4" t="n">
        <v>43831</v>
      </c>
      <c r="D14" s="6" t="n">
        <v>12400000</v>
      </c>
      <c r="E14" s="6" t="n">
        <v>0</v>
      </c>
      <c r="F14" t="inlineStr">
        <is>
          <t>정률법</t>
        </is>
      </c>
      <c r="G14" t="n">
        <v>5</v>
      </c>
      <c r="H14" s="12">
        <f>IF(IF(J14&lt;&gt;"",IF(L14&lt;&gt;"",L14,F14),F14)="정률법",VLOOKUP(IF(J14&lt;&gt;"",K14,G14),'상각률표(별표4)'!$A$2:$C$60,3,FALSE),IF(IF(J14&lt;&gt;"",IF(L14&lt;&gt;"",L14,F14),F14)="생산량비례법","-",IF(IF(J14&lt;&gt;"",IF(L14&lt;&gt;"",L14,F14),F14)="이중체감법",2/IF(J14&lt;&gt;"",K14,G14),IF(IF(J14&lt;&gt;"",IF(L14&lt;&gt;"",L14,F14),F14)="연수합계법",(IF(J14&lt;&gt;"",K14,G14)-('기준정보'!$E$3-YEAR(IF(J14&lt;&gt;"",J14,C14))+1)+1)/(IF(J14&lt;&gt;"",K14,G14)*(IF(J14&lt;&gt;"",K14,G14)+1)/2),12/W14))))</f>
        <v/>
      </c>
      <c r="I14" s="4" t="inlineStr"/>
      <c r="J14" s="4" t="inlineStr"/>
      <c r="K14" t="inlineStr"/>
      <c r="L14" t="inlineStr"/>
      <c r="M14" s="6" t="inlineStr"/>
      <c r="N14" s="6" t="inlineStr"/>
      <c r="O14" s="6" t="inlineStr"/>
      <c r="P14" s="6">
        <f>IF(OR(O14="",N14=""),"",O14+N14)</f>
        <v/>
      </c>
      <c r="Q14" s="4" t="inlineStr"/>
      <c r="R14" s="6" t="inlineStr"/>
      <c r="S14" s="4" t="inlineStr"/>
      <c r="T14" s="4" t="inlineStr"/>
      <c r="U14">
        <f>(YEAR('기준정보'!$E$2)-YEAR(C14))*12+MONTH('기준정보'!$E$2)-MONTH(C14)+1</f>
        <v/>
      </c>
      <c r="V14">
        <f>MAX(0,MAX(0,MIN((IF(J14&lt;&gt;"",YEAR(J14)*12+MONTH(J14),YEAR(C14)*12+MONTH(C14))+W14-1),('기준정보'!$E$3*12+12),IF(I14&lt;&gt;"",YEAR(I14)*12+MONTH(I14),9999999))-MAX(IF(J14&lt;&gt;"",YEAR(J14)*12+MONTH(J14),YEAR(C14)*12+MONTH(C14)),('기준정보'!$E$3*12+1))+1)-IF(S14&lt;&gt;"",MAX(0,MIN(MIN((IF(J14&lt;&gt;"",YEAR(J14)*12+MONTH(J14),YEAR(C14)*12+MONTH(C14))+W14-1),('기준정보'!$E$3*12+12),IF(I14&lt;&gt;"",YEAR(I14)*12+MONTH(I14),9999999)),YEAR(T14)*12+MONTH(T14))-MAX(MAX(IF(J14&lt;&gt;"",YEAR(J14)*12+MONTH(J14),YEAR(C14)*12+MONTH(C14)),('기준정보'!$E$3*12+1)),YEAR(S14)*12+MONTH(S14))+1),0))</f>
        <v/>
      </c>
      <c r="W14">
        <f>IF(J14&lt;&gt;"",K14,G14)*12</f>
        <v/>
      </c>
      <c r="X14" s="6" t="n">
        <v>0</v>
      </c>
      <c r="Y14" s="6">
        <f>X14-E14</f>
        <v/>
      </c>
      <c r="Z14" s="6" t="n">
        <v>0</v>
      </c>
      <c r="AA14" t="inlineStr">
        <is>
          <t>종료</t>
        </is>
      </c>
      <c r="AB14" t="inlineStr">
        <is>
          <t>내용연수종료</t>
        </is>
      </c>
      <c r="AC14" s="6" t="n">
        <v>0</v>
      </c>
      <c r="AD14" s="6">
        <f>IF(IF(J14&lt;&gt;"",IF(L14&lt;&gt;"",L14,F14),F14)="생산량비례법",(D14-E14)*N14/M14,IF(IF(J14&lt;&gt;"",IF(L14&lt;&gt;"",L14,F14),F14)="정률법",IF(X14-X14*H14*V14/12&lt;=(D14+IF(R14&lt;&gt;"",R14,0))*0.05,Y14,X14*H14*V14/12),IF(IF(J14&lt;&gt;"",IF(L14&lt;&gt;"",L14,F14),F14)="이중체감법",IF(X14-X14*H14*V14/12&lt;=E14,Y14,X14*H14*V14/12),Y14*H14*V14/12)))</f>
        <v/>
      </c>
      <c r="AE14" s="6">
        <f>AD14-AC14</f>
        <v/>
      </c>
      <c r="AF14" s="6" t="n">
        <v>12400001</v>
      </c>
      <c r="AG14" s="6">
        <f>IF(F14="생산량비례법",IF(O14&lt;&gt;"",(D14-E14)*O14/M14,""),(D14+IF(AND(R14&lt;&gt;"",Q14&lt;='기준정보'!$E$4),R14,0))-Z14)</f>
        <v/>
      </c>
      <c r="AH14" s="6">
        <f>AG14-AF14</f>
        <v/>
      </c>
      <c r="AI14" s="6">
        <f>IF(AF14="","",AF14+AC14)</f>
        <v/>
      </c>
      <c r="AJ14" s="6">
        <f>IF(AG14="","",AG14+AD14)</f>
        <v/>
      </c>
      <c r="AK14" s="6">
        <f>AJ14-AI14</f>
        <v/>
      </c>
      <c r="AL14" t="inlineStr">
        <is>
          <t>경미한 차이</t>
        </is>
      </c>
      <c r="AM14" t="inlineStr">
        <is>
          <t>-</t>
        </is>
      </c>
      <c r="AN14" t="inlineStr">
        <is>
          <t>-</t>
        </is>
      </c>
    </row>
    <row r="15">
      <c r="A15" t="inlineStr">
        <is>
          <t>정률법기본자산_유형02</t>
        </is>
      </c>
      <c r="B15" t="inlineStr">
        <is>
          <t>유형자산</t>
        </is>
      </c>
      <c r="C15" s="4" t="n">
        <v>44742</v>
      </c>
      <c r="D15" s="6" t="n">
        <v>12800000</v>
      </c>
      <c r="E15" s="6" t="n">
        <v>0</v>
      </c>
      <c r="F15" t="inlineStr">
        <is>
          <t>정률법</t>
        </is>
      </c>
      <c r="G15" t="n">
        <v>6</v>
      </c>
      <c r="H15" s="12">
        <f>IF(IF(J15&lt;&gt;"",IF(L15&lt;&gt;"",L15,F15),F15)="정률법",VLOOKUP(IF(J15&lt;&gt;"",K15,G15),'상각률표(별표4)'!$A$2:$C$60,3,FALSE),IF(IF(J15&lt;&gt;"",IF(L15&lt;&gt;"",L15,F15),F15)="생산량비례법","-",IF(IF(J15&lt;&gt;"",IF(L15&lt;&gt;"",L15,F15),F15)="이중체감법",2/IF(J15&lt;&gt;"",K15,G15),IF(IF(J15&lt;&gt;"",IF(L15&lt;&gt;"",L15,F15),F15)="연수합계법",(IF(J15&lt;&gt;"",K15,G15)-('기준정보'!$E$3-YEAR(IF(J15&lt;&gt;"",J15,C15))+1)+1)/(IF(J15&lt;&gt;"",K15,G15)*(IF(J15&lt;&gt;"",K15,G15)+1)/2),12/W15))))</f>
        <v/>
      </c>
      <c r="I15" s="4" t="inlineStr"/>
      <c r="J15" s="4" t="inlineStr"/>
      <c r="K15" t="inlineStr"/>
      <c r="L15" t="inlineStr"/>
      <c r="M15" s="6" t="inlineStr"/>
      <c r="N15" s="6" t="inlineStr"/>
      <c r="O15" s="6" t="inlineStr"/>
      <c r="P15" s="6">
        <f>IF(OR(O15="",N15=""),"",O15+N15)</f>
        <v/>
      </c>
      <c r="Q15" s="4" t="inlineStr"/>
      <c r="R15" s="6" t="inlineStr"/>
      <c r="S15" s="4" t="inlineStr"/>
      <c r="T15" s="4" t="inlineStr"/>
      <c r="U15">
        <f>(YEAR('기준정보'!$E$2)-YEAR(C15))*12+MONTH('기준정보'!$E$2)-MONTH(C15)+1</f>
        <v/>
      </c>
      <c r="V15">
        <f>MAX(0,MAX(0,MIN((IF(J15&lt;&gt;"",YEAR(J15)*12+MONTH(J15),YEAR(C15)*12+MONTH(C15))+W15-1),('기준정보'!$E$3*12+12),IF(I15&lt;&gt;"",YEAR(I15)*12+MONTH(I15),9999999))-MAX(IF(J15&lt;&gt;"",YEAR(J15)*12+MONTH(J15),YEAR(C15)*12+MONTH(C15)),('기준정보'!$E$3*12+1))+1)-IF(S15&lt;&gt;"",MAX(0,MIN(MIN((IF(J15&lt;&gt;"",YEAR(J15)*12+MONTH(J15),YEAR(C15)*12+MONTH(C15))+W15-1),('기준정보'!$E$3*12+12),IF(I15&lt;&gt;"",YEAR(I15)*12+MONTH(I15),9999999)),YEAR(T15)*12+MONTH(T15))-MAX(MAX(IF(J15&lt;&gt;"",YEAR(J15)*12+MONTH(J15),YEAR(C15)*12+MONTH(C15)),('기준정보'!$E$3*12+1)),YEAR(S15)*12+MONTH(S15))+1),0))</f>
        <v/>
      </c>
      <c r="W15">
        <f>IF(J15&lt;&gt;"",K15,G15)*12</f>
        <v/>
      </c>
      <c r="X15" s="6" t="n">
        <v>3620261.452800001</v>
      </c>
      <c r="Y15" s="6">
        <f>X15-E15</f>
        <v/>
      </c>
      <c r="Z15" s="6" t="n">
        <v>3620261.452800001</v>
      </c>
      <c r="AA15" t="inlineStr">
        <is>
          <t>-</t>
        </is>
      </c>
      <c r="AB15" t="inlineStr">
        <is>
          <t>-</t>
        </is>
      </c>
      <c r="AC15" s="6" t="n">
        <v>1426383</v>
      </c>
      <c r="AD15" s="6">
        <f>IF(IF(J15&lt;&gt;"",IF(L15&lt;&gt;"",L15,F15),F15)="생산량비례법",(D15-E15)*N15/M15,IF(IF(J15&lt;&gt;"",IF(L15&lt;&gt;"",L15,F15),F15)="정률법",IF(X15-X15*H15*V15/12&lt;=(D15+IF(R15&lt;&gt;"",R15,0))*0.05,Y15,X15*H15*V15/12),IF(IF(J15&lt;&gt;"",IF(L15&lt;&gt;"",L15,F15),F15)="이중체감법",IF(X15-X15*H15*V15/12&lt;=E15,Y15,X15*H15*V15/12),Y15*H15*V15/12)))</f>
        <v/>
      </c>
      <c r="AE15" s="6">
        <f>AD15-AC15</f>
        <v/>
      </c>
      <c r="AF15" s="6" t="n">
        <v>9179739</v>
      </c>
      <c r="AG15" s="6">
        <f>IF(F15="생산량비례법",IF(O15&lt;&gt;"",(D15-E15)*O15/M15,""),(D15+IF(AND(R15&lt;&gt;"",Q15&lt;='기준정보'!$E$4),R15,0))-Z15)</f>
        <v/>
      </c>
      <c r="AH15" s="6">
        <f>AG15-AF15</f>
        <v/>
      </c>
      <c r="AI15" s="6">
        <f>IF(AF15="","",AF15+AC15)</f>
        <v/>
      </c>
      <c r="AJ15" s="6">
        <f>IF(AG15="","",AG15+AD15)</f>
        <v/>
      </c>
      <c r="AK15" s="6">
        <f>AJ15-AI15</f>
        <v/>
      </c>
      <c r="AL15" t="inlineStr">
        <is>
          <t>경미한 차이</t>
        </is>
      </c>
      <c r="AM15" t="inlineStr">
        <is>
          <t>-</t>
        </is>
      </c>
      <c r="AN15" t="inlineStr">
        <is>
          <t>-</t>
        </is>
      </c>
    </row>
    <row r="16">
      <c r="A16" t="inlineStr">
        <is>
          <t>정률법기본자산_유형03</t>
        </is>
      </c>
      <c r="B16" t="inlineStr">
        <is>
          <t>유형자산</t>
        </is>
      </c>
      <c r="C16" s="4" t="n">
        <v>45108</v>
      </c>
      <c r="D16" s="6" t="n">
        <v>13200000</v>
      </c>
      <c r="E16" s="6" t="n">
        <v>0</v>
      </c>
      <c r="F16" t="inlineStr">
        <is>
          <t>정률법</t>
        </is>
      </c>
      <c r="G16" t="n">
        <v>8</v>
      </c>
      <c r="H16" s="12">
        <f>IF(IF(J16&lt;&gt;"",IF(L16&lt;&gt;"",L16,F16),F16)="정률법",VLOOKUP(IF(J16&lt;&gt;"",K16,G16),'상각률표(별표4)'!$A$2:$C$60,3,FALSE),IF(IF(J16&lt;&gt;"",IF(L16&lt;&gt;"",L16,F16),F16)="생산량비례법","-",IF(IF(J16&lt;&gt;"",IF(L16&lt;&gt;"",L16,F16),F16)="이중체감법",2/IF(J16&lt;&gt;"",K16,G16),IF(IF(J16&lt;&gt;"",IF(L16&lt;&gt;"",L16,F16),F16)="연수합계법",(IF(J16&lt;&gt;"",K16,G16)-('기준정보'!$E$3-YEAR(IF(J16&lt;&gt;"",J16,C16))+1)+1)/(IF(J16&lt;&gt;"",K16,G16)*(IF(J16&lt;&gt;"",K16,G16)+1)/2),12/W16))))</f>
        <v/>
      </c>
      <c r="I16" s="4" t="inlineStr"/>
      <c r="J16" s="4" t="inlineStr"/>
      <c r="K16" t="inlineStr"/>
      <c r="L16" t="inlineStr"/>
      <c r="M16" s="6" t="inlineStr"/>
      <c r="N16" s="6" t="inlineStr"/>
      <c r="O16" s="6" t="inlineStr"/>
      <c r="P16" s="6">
        <f>IF(OR(O16="",N16=""),"",O16+N16)</f>
        <v/>
      </c>
      <c r="Q16" s="4" t="inlineStr"/>
      <c r="R16" s="6" t="inlineStr"/>
      <c r="S16" s="4" t="inlineStr"/>
      <c r="T16" s="4" t="inlineStr"/>
      <c r="U16">
        <f>(YEAR('기준정보'!$E$2)-YEAR(C16))*12+MONTH('기준정보'!$E$2)-MONTH(C16)+1</f>
        <v/>
      </c>
      <c r="V16">
        <f>MAX(0,MAX(0,MIN((IF(J16&lt;&gt;"",YEAR(J16)*12+MONTH(J16),YEAR(C16)*12+MONTH(C16))+W16-1),('기준정보'!$E$3*12+12),IF(I16&lt;&gt;"",YEAR(I16)*12+MONTH(I16),9999999))-MAX(IF(J16&lt;&gt;"",YEAR(J16)*12+MONTH(J16),YEAR(C16)*12+MONTH(C16)),('기준정보'!$E$3*12+1))+1)-IF(S16&lt;&gt;"",MAX(0,MIN(MIN((IF(J16&lt;&gt;"",YEAR(J16)*12+MONTH(J16),YEAR(C16)*12+MONTH(C16))+W16-1),('기준정보'!$E$3*12+12),IF(I16&lt;&gt;"",YEAR(I16)*12+MONTH(I16),9999999)),YEAR(T16)*12+MONTH(T16))-MAX(MAX(IF(J16&lt;&gt;"",YEAR(J16)*12+MONTH(J16),YEAR(C16)*12+MONTH(C16)),('기준정보'!$E$3*12+1)),YEAR(S16)*12+MONTH(S16))+1),0))</f>
        <v/>
      </c>
      <c r="W16">
        <f>IF(J16&lt;&gt;"",K16,G16)*12</f>
        <v/>
      </c>
      <c r="X16" s="6" t="n">
        <v>7649195.4</v>
      </c>
      <c r="Y16" s="6">
        <f>X16-E16</f>
        <v/>
      </c>
      <c r="Z16" s="6" t="n">
        <v>7649195.4</v>
      </c>
      <c r="AA16" t="inlineStr">
        <is>
          <t>-</t>
        </is>
      </c>
      <c r="AB16" t="inlineStr">
        <is>
          <t>-</t>
        </is>
      </c>
      <c r="AC16" s="6" t="n">
        <v>2394198</v>
      </c>
      <c r="AD16" s="6">
        <f>IF(IF(J16&lt;&gt;"",IF(L16&lt;&gt;"",L16,F16),F16)="생산량비례법",(D16-E16)*N16/M16,IF(IF(J16&lt;&gt;"",IF(L16&lt;&gt;"",L16,F16),F16)="정률법",IF(X16-X16*H16*V16/12&lt;=(D16+IF(R16&lt;&gt;"",R16,0))*0.05,Y16,X16*H16*V16/12),IF(IF(J16&lt;&gt;"",IF(L16&lt;&gt;"",L16,F16),F16)="이중체감법",IF(X16-X16*H16*V16/12&lt;=E16,Y16,X16*H16*V16/12),Y16*H16*V16/12)))</f>
        <v/>
      </c>
      <c r="AE16" s="6">
        <f>AD16-AC16</f>
        <v/>
      </c>
      <c r="AF16" s="6" t="n">
        <v>5550805</v>
      </c>
      <c r="AG16" s="6">
        <f>IF(F16="생산량비례법",IF(O16&lt;&gt;"",(D16-E16)*O16/M16,""),(D16+IF(AND(R16&lt;&gt;"",Q16&lt;='기준정보'!$E$4),R16,0))-Z16)</f>
        <v/>
      </c>
      <c r="AH16" s="6">
        <f>AG16-AF16</f>
        <v/>
      </c>
      <c r="AI16" s="6">
        <f>IF(AF16="","",AF16+AC16)</f>
        <v/>
      </c>
      <c r="AJ16" s="6">
        <f>IF(AG16="","",AG16+AD16)</f>
        <v/>
      </c>
      <c r="AK16" s="6">
        <f>AJ16-AI16</f>
        <v/>
      </c>
      <c r="AL16" t="inlineStr">
        <is>
          <t>경미한 차이</t>
        </is>
      </c>
      <c r="AM16" t="inlineStr">
        <is>
          <t>-</t>
        </is>
      </c>
      <c r="AN16" t="inlineStr">
        <is>
          <t>-</t>
        </is>
      </c>
    </row>
    <row r="17">
      <c r="A17" t="inlineStr">
        <is>
          <t>정률법기본자산_유형04</t>
        </is>
      </c>
      <c r="B17" t="inlineStr">
        <is>
          <t>유형자산</t>
        </is>
      </c>
      <c r="C17" s="4" t="n">
        <v>45627</v>
      </c>
      <c r="D17" s="6" t="n">
        <v>13600000</v>
      </c>
      <c r="E17" s="6" t="n">
        <v>0</v>
      </c>
      <c r="F17" t="inlineStr">
        <is>
          <t>정률법</t>
        </is>
      </c>
      <c r="G17" t="n">
        <v>10</v>
      </c>
      <c r="H17" s="12">
        <f>IF(IF(J17&lt;&gt;"",IF(L17&lt;&gt;"",L17,F17),F17)="정률법",VLOOKUP(IF(J17&lt;&gt;"",K17,G17),'상각률표(별표4)'!$A$2:$C$60,3,FALSE),IF(IF(J17&lt;&gt;"",IF(L17&lt;&gt;"",L17,F17),F17)="생산량비례법","-",IF(IF(J17&lt;&gt;"",IF(L17&lt;&gt;"",L17,F17),F17)="이중체감법",2/IF(J17&lt;&gt;"",K17,G17),IF(IF(J17&lt;&gt;"",IF(L17&lt;&gt;"",L17,F17),F17)="연수합계법",(IF(J17&lt;&gt;"",K17,G17)-('기준정보'!$E$3-YEAR(IF(J17&lt;&gt;"",J17,C17))+1)+1)/(IF(J17&lt;&gt;"",K17,G17)*(IF(J17&lt;&gt;"",K17,G17)+1)/2),12/W17))))</f>
        <v/>
      </c>
      <c r="I17" s="4" t="inlineStr"/>
      <c r="J17" s="4" t="inlineStr"/>
      <c r="K17" t="inlineStr"/>
      <c r="L17" t="inlineStr"/>
      <c r="M17" s="6" t="inlineStr"/>
      <c r="N17" s="6" t="inlineStr"/>
      <c r="O17" s="6" t="inlineStr"/>
      <c r="P17" s="6">
        <f>IF(OR(O17="",N17=""),"",O17+N17)</f>
        <v/>
      </c>
      <c r="Q17" s="4" t="inlineStr"/>
      <c r="R17" s="6" t="inlineStr"/>
      <c r="S17" s="4" t="inlineStr"/>
      <c r="T17" s="4" t="inlineStr"/>
      <c r="U17">
        <f>(YEAR('기준정보'!$E$2)-YEAR(C17))*12+MONTH('기준정보'!$E$2)-MONTH(C17)+1</f>
        <v/>
      </c>
      <c r="V17">
        <f>MAX(0,MAX(0,MIN((IF(J17&lt;&gt;"",YEAR(J17)*12+MONTH(J17),YEAR(C17)*12+MONTH(C17))+W17-1),('기준정보'!$E$3*12+12),IF(I17&lt;&gt;"",YEAR(I17)*12+MONTH(I17),9999999))-MAX(IF(J17&lt;&gt;"",YEAR(J17)*12+MONTH(J17),YEAR(C17)*12+MONTH(C17)),('기준정보'!$E$3*12+1))+1)-IF(S17&lt;&gt;"",MAX(0,MIN(MIN((IF(J17&lt;&gt;"",YEAR(J17)*12+MONTH(J17),YEAR(C17)*12+MONTH(C17))+W17-1),('기준정보'!$E$3*12+12),IF(I17&lt;&gt;"",YEAR(I17)*12+MONTH(I17),9999999)),YEAR(T17)*12+MONTH(T17))-MAX(MAX(IF(J17&lt;&gt;"",YEAR(J17)*12+MONTH(J17),YEAR(C17)*12+MONTH(C17)),('기준정보'!$E$3*12+1)),YEAR(S17)*12+MONTH(S17))+1),0))</f>
        <v/>
      </c>
      <c r="W17">
        <f>IF(J17&lt;&gt;"",K17,G17)*12</f>
        <v/>
      </c>
      <c r="X17" s="6" t="n">
        <v>13306466.66666667</v>
      </c>
      <c r="Y17" s="6">
        <f>X17-E17</f>
        <v/>
      </c>
      <c r="Z17" s="6" t="n">
        <v>13306466.66666667</v>
      </c>
      <c r="AA17" t="inlineStr">
        <is>
          <t>-</t>
        </is>
      </c>
      <c r="AB17" t="inlineStr">
        <is>
          <t>-</t>
        </is>
      </c>
      <c r="AC17" s="6" t="n">
        <v>3446375</v>
      </c>
      <c r="AD17" s="6">
        <f>IF(IF(J17&lt;&gt;"",IF(L17&lt;&gt;"",L17,F17),F17)="생산량비례법",(D17-E17)*N17/M17,IF(IF(J17&lt;&gt;"",IF(L17&lt;&gt;"",L17,F17),F17)="정률법",IF(X17-X17*H17*V17/12&lt;=(D17+IF(R17&lt;&gt;"",R17,0))*0.05,Y17,X17*H17*V17/12),IF(IF(J17&lt;&gt;"",IF(L17&lt;&gt;"",L17,F17),F17)="이중체감법",IF(X17-X17*H17*V17/12&lt;=E17,Y17,X17*H17*V17/12),Y17*H17*V17/12)))</f>
        <v/>
      </c>
      <c r="AE17" s="6">
        <f>AD17-AC17</f>
        <v/>
      </c>
      <c r="AF17" s="6" t="n">
        <v>293533</v>
      </c>
      <c r="AG17" s="6">
        <f>IF(F17="생산량비례법",IF(O17&lt;&gt;"",(D17-E17)*O17/M17,""),(D17+IF(AND(R17&lt;&gt;"",Q17&lt;='기준정보'!$E$4),R17,0))-Z17)</f>
        <v/>
      </c>
      <c r="AH17" s="6">
        <f>AG17-AF17</f>
        <v/>
      </c>
      <c r="AI17" s="6">
        <f>IF(AF17="","",AF17+AC17)</f>
        <v/>
      </c>
      <c r="AJ17" s="6">
        <f>IF(AG17="","",AG17+AD17)</f>
        <v/>
      </c>
      <c r="AK17" s="6">
        <f>AJ17-AI17</f>
        <v/>
      </c>
      <c r="AL17" t="inlineStr">
        <is>
          <t>경미한 차이</t>
        </is>
      </c>
      <c r="AM17" t="inlineStr">
        <is>
          <t>-</t>
        </is>
      </c>
      <c r="AN17" t="inlineStr">
        <is>
          <t>-</t>
        </is>
      </c>
    </row>
    <row r="18">
      <c r="A18" t="inlineStr">
        <is>
          <t>정률법기본자산_유형05</t>
        </is>
      </c>
      <c r="B18" t="inlineStr">
        <is>
          <t>유형자산</t>
        </is>
      </c>
      <c r="C18" s="4" t="n">
        <v>44270</v>
      </c>
      <c r="D18" s="6" t="n">
        <v>14000000</v>
      </c>
      <c r="E18" s="6" t="n">
        <v>0</v>
      </c>
      <c r="F18" t="inlineStr">
        <is>
          <t>정률법</t>
        </is>
      </c>
      <c r="G18" t="n">
        <v>15</v>
      </c>
      <c r="H18" s="12">
        <f>IF(IF(J18&lt;&gt;"",IF(L18&lt;&gt;"",L18,F18),F18)="정률법",VLOOKUP(IF(J18&lt;&gt;"",K18,G18),'상각률표(별표4)'!$A$2:$C$60,3,FALSE),IF(IF(J18&lt;&gt;"",IF(L18&lt;&gt;"",L18,F18),F18)="생산량비례법","-",IF(IF(J18&lt;&gt;"",IF(L18&lt;&gt;"",L18,F18),F18)="이중체감법",2/IF(J18&lt;&gt;"",K18,G18),IF(IF(J18&lt;&gt;"",IF(L18&lt;&gt;"",L18,F18),F18)="연수합계법",(IF(J18&lt;&gt;"",K18,G18)-('기준정보'!$E$3-YEAR(IF(J18&lt;&gt;"",J18,C18))+1)+1)/(IF(J18&lt;&gt;"",K18,G18)*(IF(J18&lt;&gt;"",K18,G18)+1)/2),12/W18))))</f>
        <v/>
      </c>
      <c r="I18" s="4" t="inlineStr"/>
      <c r="J18" s="4" t="inlineStr"/>
      <c r="K18" t="inlineStr"/>
      <c r="L18" t="inlineStr"/>
      <c r="M18" s="6" t="inlineStr"/>
      <c r="N18" s="6" t="inlineStr"/>
      <c r="O18" s="6" t="inlineStr"/>
      <c r="P18" s="6">
        <f>IF(OR(O18="",N18=""),"",O18+N18)</f>
        <v/>
      </c>
      <c r="Q18" s="4" t="inlineStr"/>
      <c r="R18" s="6" t="inlineStr"/>
      <c r="S18" s="4" t="inlineStr"/>
      <c r="T18" s="4" t="inlineStr"/>
      <c r="U18">
        <f>(YEAR('기준정보'!$E$2)-YEAR(C18))*12+MONTH('기준정보'!$E$2)-MONTH(C18)+1</f>
        <v/>
      </c>
      <c r="V18">
        <f>MAX(0,MAX(0,MIN((IF(J18&lt;&gt;"",YEAR(J18)*12+MONTH(J18),YEAR(C18)*12+MONTH(C18))+W18-1),('기준정보'!$E$3*12+12),IF(I18&lt;&gt;"",YEAR(I18)*12+MONTH(I18),9999999))-MAX(IF(J18&lt;&gt;"",YEAR(J18)*12+MONTH(J18),YEAR(C18)*12+MONTH(C18)),('기준정보'!$E$3*12+1))+1)-IF(S18&lt;&gt;"",MAX(0,MIN(MIN((IF(J18&lt;&gt;"",YEAR(J18)*12+MONTH(J18),YEAR(C18)*12+MONTH(C18))+W18-1),('기준정보'!$E$3*12+12),IF(I18&lt;&gt;"",YEAR(I18)*12+MONTH(I18),9999999)),YEAR(T18)*12+MONTH(T18))-MAX(MAX(IF(J18&lt;&gt;"",YEAR(J18)*12+MONTH(J18),YEAR(C18)*12+MONTH(C18)),('기준정보'!$E$3*12+1)),YEAR(S18)*12+MONTH(S18))+1),0))</f>
        <v/>
      </c>
      <c r="W18">
        <f>IF(J18&lt;&gt;"",K18,G18)*12</f>
        <v/>
      </c>
      <c r="X18" s="6" t="n">
        <v>6500615.494053333</v>
      </c>
      <c r="Y18" s="6">
        <f>X18-E18</f>
        <v/>
      </c>
      <c r="Z18" s="6" t="n">
        <v>6500615.494053333</v>
      </c>
      <c r="AA18" t="inlineStr">
        <is>
          <t>-</t>
        </is>
      </c>
      <c r="AB18" t="inlineStr">
        <is>
          <t>-</t>
        </is>
      </c>
      <c r="AC18" s="6" t="n">
        <v>1183112</v>
      </c>
      <c r="AD18" s="6">
        <f>IF(IF(J18&lt;&gt;"",IF(L18&lt;&gt;"",L18,F18),F18)="생산량비례법",(D18-E18)*N18/M18,IF(IF(J18&lt;&gt;"",IF(L18&lt;&gt;"",L18,F18),F18)="정률법",IF(X18-X18*H18*V18/12&lt;=(D18+IF(R18&lt;&gt;"",R18,0))*0.05,Y18,X18*H18*V18/12),IF(IF(J18&lt;&gt;"",IF(L18&lt;&gt;"",L18,F18),F18)="이중체감법",IF(X18-X18*H18*V18/12&lt;=E18,Y18,X18*H18*V18/12),Y18*H18*V18/12)))</f>
        <v/>
      </c>
      <c r="AE18" s="6">
        <f>AD18-AC18</f>
        <v/>
      </c>
      <c r="AF18" s="6" t="n">
        <v>7499384</v>
      </c>
      <c r="AG18" s="6">
        <f>IF(F18="생산량비례법",IF(O18&lt;&gt;"",(D18-E18)*O18/M18,""),(D18+IF(AND(R18&lt;&gt;"",Q18&lt;='기준정보'!$E$4),R18,0))-Z18)</f>
        <v/>
      </c>
      <c r="AH18" s="6">
        <f>AG18-AF18</f>
        <v/>
      </c>
      <c r="AI18" s="6">
        <f>IF(AF18="","",AF18+AC18)</f>
        <v/>
      </c>
      <c r="AJ18" s="6">
        <f>IF(AG18="","",AG18+AD18)</f>
        <v/>
      </c>
      <c r="AK18" s="6">
        <f>AJ18-AI18</f>
        <v/>
      </c>
      <c r="AL18" t="inlineStr">
        <is>
          <t>경미한 차이</t>
        </is>
      </c>
      <c r="AM18" t="inlineStr">
        <is>
          <t>-</t>
        </is>
      </c>
      <c r="AN18" t="inlineStr">
        <is>
          <t>-</t>
        </is>
      </c>
    </row>
    <row r="19">
      <c r="A19" t="inlineStr">
        <is>
          <t>정률법기본자산_유형06</t>
        </is>
      </c>
      <c r="B19" t="inlineStr">
        <is>
          <t>유형자산</t>
        </is>
      </c>
      <c r="C19" s="4" t="n">
        <v>43466</v>
      </c>
      <c r="D19" s="6" t="n">
        <v>14400000</v>
      </c>
      <c r="E19" s="6" t="n">
        <v>0</v>
      </c>
      <c r="F19" t="inlineStr">
        <is>
          <t>정률법</t>
        </is>
      </c>
      <c r="G19" t="n">
        <v>3</v>
      </c>
      <c r="H19" s="12">
        <f>IF(IF(J19&lt;&gt;"",IF(L19&lt;&gt;"",L19,F19),F19)="정률법",VLOOKUP(IF(J19&lt;&gt;"",K19,G19),'상각률표(별표4)'!$A$2:$C$60,3,FALSE),IF(IF(J19&lt;&gt;"",IF(L19&lt;&gt;"",L19,F19),F19)="생산량비례법","-",IF(IF(J19&lt;&gt;"",IF(L19&lt;&gt;"",L19,F19),F19)="이중체감법",2/IF(J19&lt;&gt;"",K19,G19),IF(IF(J19&lt;&gt;"",IF(L19&lt;&gt;"",L19,F19),F19)="연수합계법",(IF(J19&lt;&gt;"",K19,G19)-('기준정보'!$E$3-YEAR(IF(J19&lt;&gt;"",J19,C19))+1)+1)/(IF(J19&lt;&gt;"",K19,G19)*(IF(J19&lt;&gt;"",K19,G19)+1)/2),12/W19))))</f>
        <v/>
      </c>
      <c r="I19" s="4" t="inlineStr"/>
      <c r="J19" s="4" t="inlineStr"/>
      <c r="K19" t="inlineStr"/>
      <c r="L19" t="inlineStr"/>
      <c r="M19" s="6" t="inlineStr"/>
      <c r="N19" s="6" t="inlineStr"/>
      <c r="O19" s="6" t="inlineStr"/>
      <c r="P19" s="6">
        <f>IF(OR(O19="",N19=""),"",O19+N19)</f>
        <v/>
      </c>
      <c r="Q19" s="4" t="inlineStr"/>
      <c r="R19" s="6" t="inlineStr"/>
      <c r="S19" s="4" t="inlineStr"/>
      <c r="T19" s="4" t="inlineStr"/>
      <c r="U19">
        <f>(YEAR('기준정보'!$E$2)-YEAR(C19))*12+MONTH('기준정보'!$E$2)-MONTH(C19)+1</f>
        <v/>
      </c>
      <c r="V19">
        <f>MAX(0,MAX(0,MIN((IF(J19&lt;&gt;"",YEAR(J19)*12+MONTH(J19),YEAR(C19)*12+MONTH(C19))+W19-1),('기준정보'!$E$3*12+12),IF(I19&lt;&gt;"",YEAR(I19)*12+MONTH(I19),9999999))-MAX(IF(J19&lt;&gt;"",YEAR(J19)*12+MONTH(J19),YEAR(C19)*12+MONTH(C19)),('기준정보'!$E$3*12+1))+1)-IF(S19&lt;&gt;"",MAX(0,MIN(MIN((IF(J19&lt;&gt;"",YEAR(J19)*12+MONTH(J19),YEAR(C19)*12+MONTH(C19))+W19-1),('기준정보'!$E$3*12+12),IF(I19&lt;&gt;"",YEAR(I19)*12+MONTH(I19),9999999)),YEAR(T19)*12+MONTH(T19))-MAX(MAX(IF(J19&lt;&gt;"",YEAR(J19)*12+MONTH(J19),YEAR(C19)*12+MONTH(C19)),('기준정보'!$E$3*12+1)),YEAR(S19)*12+MONTH(S19))+1),0))</f>
        <v/>
      </c>
      <c r="W19">
        <f>IF(J19&lt;&gt;"",K19,G19)*12</f>
        <v/>
      </c>
      <c r="X19" s="6" t="n">
        <v>0</v>
      </c>
      <c r="Y19" s="6">
        <f>X19-E19</f>
        <v/>
      </c>
      <c r="Z19" s="6" t="n">
        <v>0</v>
      </c>
      <c r="AA19" t="inlineStr">
        <is>
          <t>종료</t>
        </is>
      </c>
      <c r="AB19" t="inlineStr">
        <is>
          <t>내용연수종료</t>
        </is>
      </c>
      <c r="AC19" s="6" t="n">
        <v>0</v>
      </c>
      <c r="AD19" s="6">
        <f>IF(IF(J19&lt;&gt;"",IF(L19&lt;&gt;"",L19,F19),F19)="생산량비례법",(D19-E19)*N19/M19,IF(IF(J19&lt;&gt;"",IF(L19&lt;&gt;"",L19,F19),F19)="정률법",IF(X19-X19*H19*V19/12&lt;=(D19+IF(R19&lt;&gt;"",R19,0))*0.05,Y19,X19*H19*V19/12),IF(IF(J19&lt;&gt;"",IF(L19&lt;&gt;"",L19,F19),F19)="이중체감법",IF(X19-X19*H19*V19/12&lt;=E19,Y19,X19*H19*V19/12),Y19*H19*V19/12)))</f>
        <v/>
      </c>
      <c r="AE19" s="6">
        <f>AD19-AC19</f>
        <v/>
      </c>
      <c r="AF19" s="6" t="n">
        <v>14400000</v>
      </c>
      <c r="AG19" s="6">
        <f>IF(F19="생산량비례법",IF(O19&lt;&gt;"",(D19-E19)*O19/M19,""),(D19+IF(AND(R19&lt;&gt;"",Q19&lt;='기준정보'!$E$4),R19,0))-Z19)</f>
        <v/>
      </c>
      <c r="AH19" s="6">
        <f>AG19-AF19</f>
        <v/>
      </c>
      <c r="AI19" s="6">
        <f>IF(AF19="","",AF19+AC19)</f>
        <v/>
      </c>
      <c r="AJ19" s="6">
        <f>IF(AG19="","",AG19+AD19)</f>
        <v/>
      </c>
      <c r="AK19" s="6">
        <f>AJ19-AI19</f>
        <v/>
      </c>
      <c r="AL19" t="inlineStr">
        <is>
          <t>경미한 차이</t>
        </is>
      </c>
      <c r="AM19" t="inlineStr">
        <is>
          <t>-</t>
        </is>
      </c>
      <c r="AN19" t="inlineStr">
        <is>
          <t>-</t>
        </is>
      </c>
    </row>
    <row r="20">
      <c r="A20" t="inlineStr">
        <is>
          <t>정률법기본자산_유형07</t>
        </is>
      </c>
      <c r="B20" t="inlineStr">
        <is>
          <t>유형자산</t>
        </is>
      </c>
      <c r="C20" s="4" t="n">
        <v>45658</v>
      </c>
      <c r="D20" s="6" t="n">
        <v>14800000</v>
      </c>
      <c r="E20" s="6" t="n">
        <v>0</v>
      </c>
      <c r="F20" t="inlineStr">
        <is>
          <t>정률법</t>
        </is>
      </c>
      <c r="G20" t="n">
        <v>20</v>
      </c>
      <c r="H20" s="12">
        <f>IF(IF(J20&lt;&gt;"",IF(L20&lt;&gt;"",L20,F20),F20)="정률법",VLOOKUP(IF(J20&lt;&gt;"",K20,G20),'상각률표(별표4)'!$A$2:$C$60,3,FALSE),IF(IF(J20&lt;&gt;"",IF(L20&lt;&gt;"",L20,F20),F20)="생산량비례법","-",IF(IF(J20&lt;&gt;"",IF(L20&lt;&gt;"",L20,F20),F20)="이중체감법",2/IF(J20&lt;&gt;"",K20,G20),IF(IF(J20&lt;&gt;"",IF(L20&lt;&gt;"",L20,F20),F20)="연수합계법",(IF(J20&lt;&gt;"",K20,G20)-('기준정보'!$E$3-YEAR(IF(J20&lt;&gt;"",J20,C20))+1)+1)/(IF(J20&lt;&gt;"",K20,G20)*(IF(J20&lt;&gt;"",K20,G20)+1)/2),12/W20))))</f>
        <v/>
      </c>
      <c r="I20" s="4" t="inlineStr"/>
      <c r="J20" s="4" t="inlineStr"/>
      <c r="K20" t="inlineStr"/>
      <c r="L20" t="inlineStr"/>
      <c r="M20" s="6" t="inlineStr"/>
      <c r="N20" s="6" t="inlineStr"/>
      <c r="O20" s="6" t="inlineStr"/>
      <c r="P20" s="6">
        <f>IF(OR(O20="",N20=""),"",O20+N20)</f>
        <v/>
      </c>
      <c r="Q20" s="4" t="inlineStr"/>
      <c r="R20" s="6" t="inlineStr"/>
      <c r="S20" s="4" t="inlineStr"/>
      <c r="T20" s="4" t="inlineStr"/>
      <c r="U20">
        <f>(YEAR('기준정보'!$E$2)-YEAR(C20))*12+MONTH('기준정보'!$E$2)-MONTH(C20)+1</f>
        <v/>
      </c>
      <c r="V20">
        <f>MAX(0,MAX(0,MIN((IF(J20&lt;&gt;"",YEAR(J20)*12+MONTH(J20),YEAR(C20)*12+MONTH(C20))+W20-1),('기준정보'!$E$3*12+12),IF(I20&lt;&gt;"",YEAR(I20)*12+MONTH(I20),9999999))-MAX(IF(J20&lt;&gt;"",YEAR(J20)*12+MONTH(J20),YEAR(C20)*12+MONTH(C20)),('기준정보'!$E$3*12+1))+1)-IF(S20&lt;&gt;"",MAX(0,MIN(MIN((IF(J20&lt;&gt;"",YEAR(J20)*12+MONTH(J20),YEAR(C20)*12+MONTH(C20))+W20-1),('기준정보'!$E$3*12+12),IF(I20&lt;&gt;"",YEAR(I20)*12+MONTH(I20),9999999)),YEAR(T20)*12+MONTH(T20))-MAX(MAX(IF(J20&lt;&gt;"",YEAR(J20)*12+MONTH(J20),YEAR(C20)*12+MONTH(C20)),('기준정보'!$E$3*12+1)),YEAR(S20)*12+MONTH(S20))+1),0))</f>
        <v/>
      </c>
      <c r="W20">
        <f>IF(J20&lt;&gt;"",K20,G20)*12</f>
        <v/>
      </c>
      <c r="X20" s="6" t="n">
        <v>14800000</v>
      </c>
      <c r="Y20" s="6">
        <f>X20-E20</f>
        <v/>
      </c>
      <c r="Z20" s="6" t="n">
        <v>14800000</v>
      </c>
      <c r="AA20" t="inlineStr">
        <is>
          <t>-</t>
        </is>
      </c>
      <c r="AB20" t="inlineStr">
        <is>
          <t>-</t>
        </is>
      </c>
      <c r="AC20" s="6" t="n">
        <v>2072000</v>
      </c>
      <c r="AD20" s="6">
        <f>IF(IF(J20&lt;&gt;"",IF(L20&lt;&gt;"",L20,F20),F20)="생산량비례법",(D20-E20)*N20/M20,IF(IF(J20&lt;&gt;"",IF(L20&lt;&gt;"",L20,F20),F20)="정률법",IF(X20-X20*H20*V20/12&lt;=(D20+IF(R20&lt;&gt;"",R20,0))*0.05,Y20,X20*H20*V20/12),IF(IF(J20&lt;&gt;"",IF(L20&lt;&gt;"",L20,F20),F20)="이중체감법",IF(X20-X20*H20*V20/12&lt;=E20,Y20,X20*H20*V20/12),Y20*H20*V20/12)))</f>
        <v/>
      </c>
      <c r="AE20" s="6">
        <f>AD20-AC20</f>
        <v/>
      </c>
      <c r="AF20" s="6" t="n">
        <v>0</v>
      </c>
      <c r="AG20" s="6">
        <f>IF(F20="생산량비례법",IF(O20&lt;&gt;"",(D20-E20)*O20/M20,""),(D20+IF(AND(R20&lt;&gt;"",Q20&lt;='기준정보'!$E$4),R20,0))-Z20)</f>
        <v/>
      </c>
      <c r="AH20" s="6">
        <f>AG20-AF20</f>
        <v/>
      </c>
      <c r="AI20" s="6">
        <f>IF(AF20="","",AF20+AC20)</f>
        <v/>
      </c>
      <c r="AJ20" s="6">
        <f>IF(AG20="","",AG20+AD20)</f>
        <v/>
      </c>
      <c r="AK20" s="6">
        <f>AJ20-AI20</f>
        <v/>
      </c>
      <c r="AL20" t="inlineStr">
        <is>
          <t>경미한 차이</t>
        </is>
      </c>
      <c r="AM20" t="inlineStr">
        <is>
          <t>-</t>
        </is>
      </c>
      <c r="AN20" t="inlineStr">
        <is>
          <t>-</t>
        </is>
      </c>
    </row>
    <row r="21">
      <c r="A21" t="inlineStr">
        <is>
          <t>정률법기본자산_유형08</t>
        </is>
      </c>
      <c r="B21" t="inlineStr">
        <is>
          <t>유형자산</t>
        </is>
      </c>
      <c r="C21" s="4" t="n">
        <v>43221</v>
      </c>
      <c r="D21" s="6" t="n">
        <v>15200000</v>
      </c>
      <c r="E21" s="6" t="n">
        <v>0</v>
      </c>
      <c r="F21" t="inlineStr">
        <is>
          <t>정률법</t>
        </is>
      </c>
      <c r="G21" t="n">
        <v>25</v>
      </c>
      <c r="H21" s="12">
        <f>IF(IF(J21&lt;&gt;"",IF(L21&lt;&gt;"",L21,F21),F21)="정률법",VLOOKUP(IF(J21&lt;&gt;"",K21,G21),'상각률표(별표4)'!$A$2:$C$60,3,FALSE),IF(IF(J21&lt;&gt;"",IF(L21&lt;&gt;"",L21,F21),F21)="생산량비례법","-",IF(IF(J21&lt;&gt;"",IF(L21&lt;&gt;"",L21,F21),F21)="이중체감법",2/IF(J21&lt;&gt;"",K21,G21),IF(IF(J21&lt;&gt;"",IF(L21&lt;&gt;"",L21,F21),F21)="연수합계법",(IF(J21&lt;&gt;"",K21,G21)-('기준정보'!$E$3-YEAR(IF(J21&lt;&gt;"",J21,C21))+1)+1)/(IF(J21&lt;&gt;"",K21,G21)*(IF(J21&lt;&gt;"",K21,G21)+1)/2),12/W21))))</f>
        <v/>
      </c>
      <c r="I21" s="4" t="inlineStr"/>
      <c r="J21" s="4" t="inlineStr"/>
      <c r="K21" t="inlineStr"/>
      <c r="L21" t="inlineStr"/>
      <c r="M21" s="6" t="inlineStr"/>
      <c r="N21" s="6" t="inlineStr"/>
      <c r="O21" s="6" t="inlineStr"/>
      <c r="P21" s="6">
        <f>IF(OR(O21="",N21=""),"",O21+N21)</f>
        <v/>
      </c>
      <c r="Q21" s="4" t="inlineStr"/>
      <c r="R21" s="6" t="inlineStr"/>
      <c r="S21" s="4" t="inlineStr"/>
      <c r="T21" s="4" t="inlineStr"/>
      <c r="U21">
        <f>(YEAR('기준정보'!$E$2)-YEAR(C21))*12+MONTH('기준정보'!$E$2)-MONTH(C21)+1</f>
        <v/>
      </c>
      <c r="V21">
        <f>MAX(0,MAX(0,MIN((IF(J21&lt;&gt;"",YEAR(J21)*12+MONTH(J21),YEAR(C21)*12+MONTH(C21))+W21-1),('기준정보'!$E$3*12+12),IF(I21&lt;&gt;"",YEAR(I21)*12+MONTH(I21),9999999))-MAX(IF(J21&lt;&gt;"",YEAR(J21)*12+MONTH(J21),YEAR(C21)*12+MONTH(C21)),('기준정보'!$E$3*12+1))+1)-IF(S21&lt;&gt;"",MAX(0,MIN(MIN((IF(J21&lt;&gt;"",YEAR(J21)*12+MONTH(J21),YEAR(C21)*12+MONTH(C21))+W21-1),('기준정보'!$E$3*12+12),IF(I21&lt;&gt;"",YEAR(I21)*12+MONTH(I21),9999999)),YEAR(T21)*12+MONTH(T21))-MAX(MAX(IF(J21&lt;&gt;"",YEAR(J21)*12+MONTH(J21),YEAR(C21)*12+MONTH(C21)),('기준정보'!$E$3*12+1)),YEAR(S21)*12+MONTH(S21))+1),0))</f>
        <v/>
      </c>
      <c r="W21">
        <f>IF(J21&lt;&gt;"",K21,G21)*12</f>
        <v/>
      </c>
      <c r="X21" s="6" t="n">
        <v>6844953.606807588</v>
      </c>
      <c r="Y21" s="6">
        <f>X21-E21</f>
        <v/>
      </c>
      <c r="Z21" s="6" t="n">
        <v>6844953.606807588</v>
      </c>
      <c r="AA21" t="inlineStr">
        <is>
          <t>-</t>
        </is>
      </c>
      <c r="AB21" t="inlineStr">
        <is>
          <t>-</t>
        </is>
      </c>
      <c r="AC21" s="6" t="n">
        <v>773480</v>
      </c>
      <c r="AD21" s="6">
        <f>IF(IF(J21&lt;&gt;"",IF(L21&lt;&gt;"",L21,F21),F21)="생산량비례법",(D21-E21)*N21/M21,IF(IF(J21&lt;&gt;"",IF(L21&lt;&gt;"",L21,F21),F21)="정률법",IF(X21-X21*H21*V21/12&lt;=(D21+IF(R21&lt;&gt;"",R21,0))*0.05,Y21,X21*H21*V21/12),IF(IF(J21&lt;&gt;"",IF(L21&lt;&gt;"",L21,F21),F21)="이중체감법",IF(X21-X21*H21*V21/12&lt;=E21,Y21,X21*H21*V21/12),Y21*H21*V21/12)))</f>
        <v/>
      </c>
      <c r="AE21" s="6">
        <f>AD21-AC21</f>
        <v/>
      </c>
      <c r="AF21" s="6" t="n">
        <v>8355046</v>
      </c>
      <c r="AG21" s="6">
        <f>IF(F21="생산량비례법",IF(O21&lt;&gt;"",(D21-E21)*O21/M21,""),(D21+IF(AND(R21&lt;&gt;"",Q21&lt;='기준정보'!$E$4),R21,0))-Z21)</f>
        <v/>
      </c>
      <c r="AH21" s="6">
        <f>AG21-AF21</f>
        <v/>
      </c>
      <c r="AI21" s="6">
        <f>IF(AF21="","",AF21+AC21)</f>
        <v/>
      </c>
      <c r="AJ21" s="6">
        <f>IF(AG21="","",AG21+AD21)</f>
        <v/>
      </c>
      <c r="AK21" s="6">
        <f>AJ21-AI21</f>
        <v/>
      </c>
      <c r="AL21" t="inlineStr">
        <is>
          <t>경미한 차이</t>
        </is>
      </c>
      <c r="AM21" t="inlineStr">
        <is>
          <t>-</t>
        </is>
      </c>
      <c r="AN21" t="inlineStr">
        <is>
          <t>-</t>
        </is>
      </c>
    </row>
    <row r="22">
      <c r="A22" t="inlineStr">
        <is>
          <t>정률법기본자산_무형01</t>
        </is>
      </c>
      <c r="B22" t="inlineStr">
        <is>
          <t>무형자산</t>
        </is>
      </c>
      <c r="C22" s="4" t="n">
        <v>43831</v>
      </c>
      <c r="D22" s="6" t="n">
        <v>9350000</v>
      </c>
      <c r="E22" s="6" t="n">
        <v>0</v>
      </c>
      <c r="F22" t="inlineStr">
        <is>
          <t>정률법</t>
        </is>
      </c>
      <c r="G22" t="n">
        <v>5</v>
      </c>
      <c r="H22" s="12">
        <f>IF(IF(J22&lt;&gt;"",IF(L22&lt;&gt;"",L22,F22),F22)="정률법",VLOOKUP(IF(J22&lt;&gt;"",K22,G22),'상각률표(별표4)'!$A$2:$C$60,3,FALSE),IF(IF(J22&lt;&gt;"",IF(L22&lt;&gt;"",L22,F22),F22)="생산량비례법","-",IF(IF(J22&lt;&gt;"",IF(L22&lt;&gt;"",L22,F22),F22)="이중체감법",2/IF(J22&lt;&gt;"",K22,G22),IF(IF(J22&lt;&gt;"",IF(L22&lt;&gt;"",L22,F22),F22)="연수합계법",(IF(J22&lt;&gt;"",K22,G22)-('기준정보'!$E$3-YEAR(IF(J22&lt;&gt;"",J22,C22))+1)+1)/(IF(J22&lt;&gt;"",K22,G22)*(IF(J22&lt;&gt;"",K22,G22)+1)/2),12/W22))))</f>
        <v/>
      </c>
      <c r="I22" s="4" t="inlineStr"/>
      <c r="J22" s="4" t="inlineStr"/>
      <c r="K22" t="inlineStr"/>
      <c r="L22" t="inlineStr"/>
      <c r="M22" s="6" t="inlineStr"/>
      <c r="N22" s="6" t="inlineStr"/>
      <c r="O22" s="6" t="inlineStr"/>
      <c r="P22" s="6">
        <f>IF(OR(O22="",N22=""),"",O22+N22)</f>
        <v/>
      </c>
      <c r="Q22" s="4" t="inlineStr"/>
      <c r="R22" s="6" t="inlineStr"/>
      <c r="S22" s="4" t="inlineStr"/>
      <c r="T22" s="4" t="inlineStr"/>
      <c r="U22">
        <f>(YEAR('기준정보'!$E$2)-YEAR(C22))*12+MONTH('기준정보'!$E$2)-MONTH(C22)+1</f>
        <v/>
      </c>
      <c r="V22">
        <f>MAX(0,MAX(0,MIN((IF(J22&lt;&gt;"",YEAR(J22)*12+MONTH(J22),YEAR(C22)*12+MONTH(C22))+W22-1),('기준정보'!$E$3*12+12),IF(I22&lt;&gt;"",YEAR(I22)*12+MONTH(I22),9999999))-MAX(IF(J22&lt;&gt;"",YEAR(J22)*12+MONTH(J22),YEAR(C22)*12+MONTH(C22)),('기준정보'!$E$3*12+1))+1)-IF(S22&lt;&gt;"",MAX(0,MIN(MIN((IF(J22&lt;&gt;"",YEAR(J22)*12+MONTH(J22),YEAR(C22)*12+MONTH(C22))+W22-1),('기준정보'!$E$3*12+12),IF(I22&lt;&gt;"",YEAR(I22)*12+MONTH(I22),9999999)),YEAR(T22)*12+MONTH(T22))-MAX(MAX(IF(J22&lt;&gt;"",YEAR(J22)*12+MONTH(J22),YEAR(C22)*12+MONTH(C22)),('기준정보'!$E$3*12+1)),YEAR(S22)*12+MONTH(S22))+1),0))</f>
        <v/>
      </c>
      <c r="W22">
        <f>IF(J22&lt;&gt;"",K22,G22)*12</f>
        <v/>
      </c>
      <c r="X22" s="6" t="n">
        <v>0</v>
      </c>
      <c r="Y22" s="6">
        <f>X22-E22</f>
        <v/>
      </c>
      <c r="Z22" s="6" t="n">
        <v>0</v>
      </c>
      <c r="AA22" t="inlineStr">
        <is>
          <t>종료</t>
        </is>
      </c>
      <c r="AB22" t="inlineStr">
        <is>
          <t>내용연수종료</t>
        </is>
      </c>
      <c r="AC22" s="6" t="n">
        <v>0</v>
      </c>
      <c r="AD22" s="6">
        <f>IF(IF(J22&lt;&gt;"",IF(L22&lt;&gt;"",L22,F22),F22)="생산량비례법",(D22-E22)*N22/M22,IF(IF(J22&lt;&gt;"",IF(L22&lt;&gt;"",L22,F22),F22)="정률법",IF(X22-X22*H22*V22/12&lt;=(D22+IF(R22&lt;&gt;"",R22,0))*0.05,Y22,X22*H22*V22/12),IF(IF(J22&lt;&gt;"",IF(L22&lt;&gt;"",L22,F22),F22)="이중체감법",IF(X22-X22*H22*V22/12&lt;=E22,Y22,X22*H22*V22/12),Y22*H22*V22/12)))</f>
        <v/>
      </c>
      <c r="AE22" s="6">
        <f>AD22-AC22</f>
        <v/>
      </c>
      <c r="AF22" s="6" t="n">
        <v>9350001</v>
      </c>
      <c r="AG22" s="6">
        <f>IF(F22="생산량비례법",IF(O22&lt;&gt;"",(D22-E22)*O22/M22,""),(D22+IF(AND(R22&lt;&gt;"",Q22&lt;='기준정보'!$E$4),R22,0))-Z22)</f>
        <v/>
      </c>
      <c r="AH22" s="6">
        <f>AG22-AF22</f>
        <v/>
      </c>
      <c r="AI22" s="6">
        <f>IF(AF22="","",AF22+AC22)</f>
        <v/>
      </c>
      <c r="AJ22" s="6">
        <f>IF(AG22="","",AG22+AD22)</f>
        <v/>
      </c>
      <c r="AK22" s="6">
        <f>AJ22-AI22</f>
        <v/>
      </c>
      <c r="AL22" t="inlineStr">
        <is>
          <t>경미한 차이</t>
        </is>
      </c>
      <c r="AM22" t="inlineStr">
        <is>
          <t>-</t>
        </is>
      </c>
      <c r="AN22" t="inlineStr">
        <is>
          <t>-</t>
        </is>
      </c>
    </row>
    <row r="23">
      <c r="A23" t="inlineStr">
        <is>
          <t>정률법기본자산_무형02</t>
        </is>
      </c>
      <c r="B23" t="inlineStr">
        <is>
          <t>무형자산</t>
        </is>
      </c>
      <c r="C23" s="4" t="n">
        <v>44742</v>
      </c>
      <c r="D23" s="6" t="n">
        <v>9700000</v>
      </c>
      <c r="E23" s="6" t="n">
        <v>0</v>
      </c>
      <c r="F23" t="inlineStr">
        <is>
          <t>정률법</t>
        </is>
      </c>
      <c r="G23" t="n">
        <v>9</v>
      </c>
      <c r="H23" s="12">
        <f>IF(IF(J23&lt;&gt;"",IF(L23&lt;&gt;"",L23,F23),F23)="정률법",VLOOKUP(IF(J23&lt;&gt;"",K23,G23),'상각률표(별표4)'!$A$2:$C$60,3,FALSE),IF(IF(J23&lt;&gt;"",IF(L23&lt;&gt;"",L23,F23),F23)="생산량비례법","-",IF(IF(J23&lt;&gt;"",IF(L23&lt;&gt;"",L23,F23),F23)="이중체감법",2/IF(J23&lt;&gt;"",K23,G23),IF(IF(J23&lt;&gt;"",IF(L23&lt;&gt;"",L23,F23),F23)="연수합계법",(IF(J23&lt;&gt;"",K23,G23)-('기준정보'!$E$3-YEAR(IF(J23&lt;&gt;"",J23,C23))+1)+1)/(IF(J23&lt;&gt;"",K23,G23)*(IF(J23&lt;&gt;"",K23,G23)+1)/2),12/W23))))</f>
        <v/>
      </c>
      <c r="I23" s="4" t="inlineStr"/>
      <c r="J23" s="4" t="inlineStr"/>
      <c r="K23" t="inlineStr"/>
      <c r="L23" t="inlineStr"/>
      <c r="M23" s="6" t="inlineStr"/>
      <c r="N23" s="6" t="inlineStr"/>
      <c r="O23" s="6" t="inlineStr"/>
      <c r="P23" s="6">
        <f>IF(OR(O23="",N23=""),"",O23+N23)</f>
        <v/>
      </c>
      <c r="Q23" s="4" t="inlineStr"/>
      <c r="R23" s="6" t="inlineStr"/>
      <c r="S23" s="4" t="inlineStr"/>
      <c r="T23" s="4" t="inlineStr"/>
      <c r="U23">
        <f>(YEAR('기준정보'!$E$2)-YEAR(C23))*12+MONTH('기준정보'!$E$2)-MONTH(C23)+1</f>
        <v/>
      </c>
      <c r="V23">
        <f>MAX(0,MAX(0,MIN((IF(J23&lt;&gt;"",YEAR(J23)*12+MONTH(J23),YEAR(C23)*12+MONTH(C23))+W23-1),('기준정보'!$E$3*12+12),IF(I23&lt;&gt;"",YEAR(I23)*12+MONTH(I23),9999999))-MAX(IF(J23&lt;&gt;"",YEAR(J23)*12+MONTH(J23),YEAR(C23)*12+MONTH(C23)),('기준정보'!$E$3*12+1))+1)-IF(S23&lt;&gt;"",MAX(0,MIN(MIN((IF(J23&lt;&gt;"",YEAR(J23)*12+MONTH(J23),YEAR(C23)*12+MONTH(C23))+W23-1),('기준정보'!$E$3*12+12),IF(I23&lt;&gt;"",YEAR(I23)*12+MONTH(I23),9999999)),YEAR(T23)*12+MONTH(T23))-MAX(MAX(IF(J23&lt;&gt;"",YEAR(J23)*12+MONTH(J23),YEAR(C23)*12+MONTH(C23)),('기준정보'!$E$3*12+1)),YEAR(S23)*12+MONTH(S23))+1),0))</f>
        <v/>
      </c>
      <c r="W23">
        <f>IF(J23&lt;&gt;"",K23,G23)*12</f>
        <v/>
      </c>
      <c r="X23" s="6" t="n">
        <v>4148942.096533334</v>
      </c>
      <c r="Y23" s="6">
        <f>X23-E23</f>
        <v/>
      </c>
      <c r="Z23" s="6" t="n">
        <v>4148942.096533334</v>
      </c>
      <c r="AA23" t="inlineStr">
        <is>
          <t>-</t>
        </is>
      </c>
      <c r="AB23" t="inlineStr">
        <is>
          <t>-</t>
        </is>
      </c>
      <c r="AC23" s="6" t="n">
        <v>1178300</v>
      </c>
      <c r="AD23" s="6">
        <f>IF(IF(J23&lt;&gt;"",IF(L23&lt;&gt;"",L23,F23),F23)="생산량비례법",(D23-E23)*N23/M23,IF(IF(J23&lt;&gt;"",IF(L23&lt;&gt;"",L23,F23),F23)="정률법",IF(X23-X23*H23*V23/12&lt;=(D23+IF(R23&lt;&gt;"",R23,0))*0.05,Y23,X23*H23*V23/12),IF(IF(J23&lt;&gt;"",IF(L23&lt;&gt;"",L23,F23),F23)="이중체감법",IF(X23-X23*H23*V23/12&lt;=E23,Y23,X23*H23*V23/12),Y23*H23*V23/12)))</f>
        <v/>
      </c>
      <c r="AE23" s="6">
        <f>AD23-AC23</f>
        <v/>
      </c>
      <c r="AF23" s="6" t="n">
        <v>5551058</v>
      </c>
      <c r="AG23" s="6">
        <f>IF(F23="생산량비례법",IF(O23&lt;&gt;"",(D23-E23)*O23/M23,""),(D23+IF(AND(R23&lt;&gt;"",Q23&lt;='기준정보'!$E$4),R23,0))-Z23)</f>
        <v/>
      </c>
      <c r="AH23" s="6">
        <f>AG23-AF23</f>
        <v/>
      </c>
      <c r="AI23" s="6">
        <f>IF(AF23="","",AF23+AC23)</f>
        <v/>
      </c>
      <c r="AJ23" s="6">
        <f>IF(AG23="","",AG23+AD23)</f>
        <v/>
      </c>
      <c r="AK23" s="6">
        <f>AJ23-AI23</f>
        <v/>
      </c>
      <c r="AL23" t="inlineStr">
        <is>
          <t>경미한 차이</t>
        </is>
      </c>
      <c r="AM23" t="inlineStr">
        <is>
          <t>-</t>
        </is>
      </c>
      <c r="AN23" t="inlineStr">
        <is>
          <t>-</t>
        </is>
      </c>
    </row>
    <row r="24">
      <c r="A24" t="inlineStr">
        <is>
          <t>정률법기본자산_무형03</t>
        </is>
      </c>
      <c r="B24" t="inlineStr">
        <is>
          <t>무형자산</t>
        </is>
      </c>
      <c r="C24" s="4" t="n">
        <v>45108</v>
      </c>
      <c r="D24" s="6" t="n">
        <v>10050000</v>
      </c>
      <c r="E24" s="6" t="n">
        <v>0</v>
      </c>
      <c r="F24" t="inlineStr">
        <is>
          <t>정률법</t>
        </is>
      </c>
      <c r="G24" t="n">
        <v>12</v>
      </c>
      <c r="H24" s="12">
        <f>IF(IF(J24&lt;&gt;"",IF(L24&lt;&gt;"",L24,F24),F24)="정률법",VLOOKUP(IF(J24&lt;&gt;"",K24,G24),'상각률표(별표4)'!$A$2:$C$60,3,FALSE),IF(IF(J24&lt;&gt;"",IF(L24&lt;&gt;"",L24,F24),F24)="생산량비례법","-",IF(IF(J24&lt;&gt;"",IF(L24&lt;&gt;"",L24,F24),F24)="이중체감법",2/IF(J24&lt;&gt;"",K24,G24),IF(IF(J24&lt;&gt;"",IF(L24&lt;&gt;"",L24,F24),F24)="연수합계법",(IF(J24&lt;&gt;"",K24,G24)-('기준정보'!$E$3-YEAR(IF(J24&lt;&gt;"",J24,C24))+1)+1)/(IF(J24&lt;&gt;"",K24,G24)*(IF(J24&lt;&gt;"",K24,G24)+1)/2),12/W24))))</f>
        <v/>
      </c>
      <c r="I24" s="4" t="inlineStr"/>
      <c r="J24" s="4" t="inlineStr"/>
      <c r="K24" t="inlineStr"/>
      <c r="L24" t="inlineStr"/>
      <c r="M24" s="6" t="inlineStr"/>
      <c r="N24" s="6" t="inlineStr"/>
      <c r="O24" s="6" t="inlineStr"/>
      <c r="P24" s="6">
        <f>IF(OR(O24="",N24=""),"",O24+N24)</f>
        <v/>
      </c>
      <c r="Q24" s="4" t="inlineStr"/>
      <c r="R24" s="6" t="inlineStr"/>
      <c r="S24" s="4" t="inlineStr"/>
      <c r="T24" s="4" t="inlineStr"/>
      <c r="U24">
        <f>(YEAR('기준정보'!$E$2)-YEAR(C24))*12+MONTH('기준정보'!$E$2)-MONTH(C24)+1</f>
        <v/>
      </c>
      <c r="V24">
        <f>MAX(0,MAX(0,MIN((IF(J24&lt;&gt;"",YEAR(J24)*12+MONTH(J24),YEAR(C24)*12+MONTH(C24))+W24-1),('기준정보'!$E$3*12+12),IF(I24&lt;&gt;"",YEAR(I24)*12+MONTH(I24),9999999))-MAX(IF(J24&lt;&gt;"",YEAR(J24)*12+MONTH(J24),YEAR(C24)*12+MONTH(C24)),('기준정보'!$E$3*12+1))+1)-IF(S24&lt;&gt;"",MAX(0,MIN(MIN((IF(J24&lt;&gt;"",YEAR(J24)*12+MONTH(J24),YEAR(C24)*12+MONTH(C24))+W24-1),('기준정보'!$E$3*12+12),IF(I24&lt;&gt;"",YEAR(I24)*12+MONTH(I24),9999999)),YEAR(T24)*12+MONTH(T24))-MAX(MAX(IF(J24&lt;&gt;"",YEAR(J24)*12+MONTH(J24),YEAR(C24)*12+MONTH(C24)),('기준정보'!$E$3*12+1)),YEAR(S24)*12+MONTH(S24))+1),0))</f>
        <v/>
      </c>
      <c r="W24">
        <f>IF(J24&lt;&gt;"",K24,G24)*12</f>
        <v/>
      </c>
      <c r="X24" s="6" t="n">
        <v>6963851.024999999</v>
      </c>
      <c r="Y24" s="6">
        <f>X24-E24</f>
        <v/>
      </c>
      <c r="Z24" s="6" t="n">
        <v>6963851.024999999</v>
      </c>
      <c r="AA24" t="inlineStr">
        <is>
          <t>-</t>
        </is>
      </c>
      <c r="AB24" t="inlineStr">
        <is>
          <t>-</t>
        </is>
      </c>
      <c r="AC24" s="6" t="n">
        <v>1539011</v>
      </c>
      <c r="AD24" s="6">
        <f>IF(IF(J24&lt;&gt;"",IF(L24&lt;&gt;"",L24,F24),F24)="생산량비례법",(D24-E24)*N24/M24,IF(IF(J24&lt;&gt;"",IF(L24&lt;&gt;"",L24,F24),F24)="정률법",IF(X24-X24*H24*V24/12&lt;=(D24+IF(R24&lt;&gt;"",R24,0))*0.05,Y24,X24*H24*V24/12),IF(IF(J24&lt;&gt;"",IF(L24&lt;&gt;"",L24,F24),F24)="이중체감법",IF(X24-X24*H24*V24/12&lt;=E24,Y24,X24*H24*V24/12),Y24*H24*V24/12)))</f>
        <v/>
      </c>
      <c r="AE24" s="6">
        <f>AD24-AC24</f>
        <v/>
      </c>
      <c r="AF24" s="6" t="n">
        <v>3086149</v>
      </c>
      <c r="AG24" s="6">
        <f>IF(F24="생산량비례법",IF(O24&lt;&gt;"",(D24-E24)*O24/M24,""),(D24+IF(AND(R24&lt;&gt;"",Q24&lt;='기준정보'!$E$4),R24,0))-Z24)</f>
        <v/>
      </c>
      <c r="AH24" s="6">
        <f>AG24-AF24</f>
        <v/>
      </c>
      <c r="AI24" s="6">
        <f>IF(AF24="","",AF24+AC24)</f>
        <v/>
      </c>
      <c r="AJ24" s="6">
        <f>IF(AG24="","",AG24+AD24)</f>
        <v/>
      </c>
      <c r="AK24" s="6">
        <f>AJ24-AI24</f>
        <v/>
      </c>
      <c r="AL24" t="inlineStr">
        <is>
          <t>경미한 차이</t>
        </is>
      </c>
      <c r="AM24" t="inlineStr">
        <is>
          <t>-</t>
        </is>
      </c>
      <c r="AN24" t="inlineStr">
        <is>
          <t>-</t>
        </is>
      </c>
    </row>
    <row r="25">
      <c r="A25" t="inlineStr">
        <is>
          <t>정률법기본자산_무형04</t>
        </is>
      </c>
      <c r="B25" t="inlineStr">
        <is>
          <t>무형자산</t>
        </is>
      </c>
      <c r="C25" s="4" t="n">
        <v>45627</v>
      </c>
      <c r="D25" s="6" t="n">
        <v>10400000</v>
      </c>
      <c r="E25" s="6" t="n">
        <v>0</v>
      </c>
      <c r="F25" t="inlineStr">
        <is>
          <t>정률법</t>
        </is>
      </c>
      <c r="G25" t="n">
        <v>22</v>
      </c>
      <c r="H25" s="12">
        <f>IF(IF(J25&lt;&gt;"",IF(L25&lt;&gt;"",L25,F25),F25)="정률법",VLOOKUP(IF(J25&lt;&gt;"",K25,G25),'상각률표(별표4)'!$A$2:$C$60,3,FALSE),IF(IF(J25&lt;&gt;"",IF(L25&lt;&gt;"",L25,F25),F25)="생산량비례법","-",IF(IF(J25&lt;&gt;"",IF(L25&lt;&gt;"",L25,F25),F25)="이중체감법",2/IF(J25&lt;&gt;"",K25,G25),IF(IF(J25&lt;&gt;"",IF(L25&lt;&gt;"",L25,F25),F25)="연수합계법",(IF(J25&lt;&gt;"",K25,G25)-('기준정보'!$E$3-YEAR(IF(J25&lt;&gt;"",J25,C25))+1)+1)/(IF(J25&lt;&gt;"",K25,G25)*(IF(J25&lt;&gt;"",K25,G25)+1)/2),12/W25))))</f>
        <v/>
      </c>
      <c r="I25" s="4" t="inlineStr"/>
      <c r="J25" s="4" t="inlineStr"/>
      <c r="K25" t="inlineStr"/>
      <c r="L25" t="inlineStr"/>
      <c r="M25" s="6" t="inlineStr"/>
      <c r="N25" s="6" t="inlineStr"/>
      <c r="O25" s="6" t="inlineStr"/>
      <c r="P25" s="6">
        <f>IF(OR(O25="",N25=""),"",O25+N25)</f>
        <v/>
      </c>
      <c r="Q25" s="4" t="inlineStr"/>
      <c r="R25" s="6" t="inlineStr"/>
      <c r="S25" s="4" t="inlineStr"/>
      <c r="T25" s="4" t="inlineStr"/>
      <c r="U25">
        <f>(YEAR('기준정보'!$E$2)-YEAR(C25))*12+MONTH('기준정보'!$E$2)-MONTH(C25)+1</f>
        <v/>
      </c>
      <c r="V25">
        <f>MAX(0,MAX(0,MIN((IF(J25&lt;&gt;"",YEAR(J25)*12+MONTH(J25),YEAR(C25)*12+MONTH(C25))+W25-1),('기준정보'!$E$3*12+12),IF(I25&lt;&gt;"",YEAR(I25)*12+MONTH(I25),9999999))-MAX(IF(J25&lt;&gt;"",YEAR(J25)*12+MONTH(J25),YEAR(C25)*12+MONTH(C25)),('기준정보'!$E$3*12+1))+1)-IF(S25&lt;&gt;"",MAX(0,MIN(MIN((IF(J25&lt;&gt;"",YEAR(J25)*12+MONTH(J25),YEAR(C25)*12+MONTH(C25))+W25-1),('기준정보'!$E$3*12+12),IF(I25&lt;&gt;"",YEAR(I25)*12+MONTH(I25),9999999)),YEAR(T25)*12+MONTH(T25))-MAX(MAX(IF(J25&lt;&gt;"",YEAR(J25)*12+MONTH(J25),YEAR(C25)*12+MONTH(C25)),('기준정보'!$E$3*12+1)),YEAR(S25)*12+MONTH(S25))+1),0))</f>
        <v/>
      </c>
      <c r="W25">
        <f>IF(J25&lt;&gt;"",K25,G25)*12</f>
        <v/>
      </c>
      <c r="X25" s="6" t="n">
        <v>10289066.66666667</v>
      </c>
      <c r="Y25" s="6">
        <f>X25-E25</f>
        <v/>
      </c>
      <c r="Z25" s="6" t="n">
        <v>10289066.66666667</v>
      </c>
      <c r="AA25" t="inlineStr">
        <is>
          <t>-</t>
        </is>
      </c>
      <c r="AB25" t="inlineStr">
        <is>
          <t>-</t>
        </is>
      </c>
      <c r="AC25" s="6" t="n">
        <v>1317001</v>
      </c>
      <c r="AD25" s="6">
        <f>IF(IF(J25&lt;&gt;"",IF(L25&lt;&gt;"",L25,F25),F25)="생산량비례법",(D25-E25)*N25/M25,IF(IF(J25&lt;&gt;"",IF(L25&lt;&gt;"",L25,F25),F25)="정률법",IF(X25-X25*H25*V25/12&lt;=(D25+IF(R25&lt;&gt;"",R25,0))*0.05,Y25,X25*H25*V25/12),IF(IF(J25&lt;&gt;"",IF(L25&lt;&gt;"",L25,F25),F25)="이중체감법",IF(X25-X25*H25*V25/12&lt;=E25,Y25,X25*H25*V25/12),Y25*H25*V25/12)))</f>
        <v/>
      </c>
      <c r="AE25" s="6">
        <f>AD25-AC25</f>
        <v/>
      </c>
      <c r="AF25" s="6" t="n">
        <v>110933</v>
      </c>
      <c r="AG25" s="6">
        <f>IF(F25="생산량비례법",IF(O25&lt;&gt;"",(D25-E25)*O25/M25,""),(D25+IF(AND(R25&lt;&gt;"",Q25&lt;='기준정보'!$E$4),R25,0))-Z25)</f>
        <v/>
      </c>
      <c r="AH25" s="6">
        <f>AG25-AF25</f>
        <v/>
      </c>
      <c r="AI25" s="6">
        <f>IF(AF25="","",AF25+AC25)</f>
        <v/>
      </c>
      <c r="AJ25" s="6">
        <f>IF(AG25="","",AG25+AD25)</f>
        <v/>
      </c>
      <c r="AK25" s="6">
        <f>AJ25-AI25</f>
        <v/>
      </c>
      <c r="AL25" t="inlineStr">
        <is>
          <t>경미한 차이</t>
        </is>
      </c>
      <c r="AM25" t="inlineStr">
        <is>
          <t>-</t>
        </is>
      </c>
      <c r="AN25" t="inlineStr">
        <is>
          <t>-</t>
        </is>
      </c>
    </row>
    <row r="26">
      <c r="A26" t="inlineStr">
        <is>
          <t>생산량비례법기본자산_유형01</t>
        </is>
      </c>
      <c r="B26" t="inlineStr">
        <is>
          <t>유형자산</t>
        </is>
      </c>
      <c r="C26" s="4" t="n">
        <v>44562</v>
      </c>
      <c r="D26" s="6" t="n">
        <v>20000000</v>
      </c>
      <c r="E26" s="6" t="n">
        <v>2000000</v>
      </c>
      <c r="F26" t="inlineStr">
        <is>
          <t>생산량비례법</t>
        </is>
      </c>
      <c r="G26" t="n">
        <v>1</v>
      </c>
      <c r="H26" s="12">
        <f>IF(IF(J26&lt;&gt;"",IF(L26&lt;&gt;"",L26,F26),F26)="정률법",VLOOKUP(IF(J26&lt;&gt;"",K26,G26),'상각률표(별표4)'!$A$2:$C$60,3,FALSE),IF(IF(J26&lt;&gt;"",IF(L26&lt;&gt;"",L26,F26),F26)="생산량비례법","-",IF(IF(J26&lt;&gt;"",IF(L26&lt;&gt;"",L26,F26),F26)="이중체감법",2/IF(J26&lt;&gt;"",K26,G26),IF(IF(J26&lt;&gt;"",IF(L26&lt;&gt;"",L26,F26),F26)="연수합계법",(IF(J26&lt;&gt;"",K26,G26)-('기준정보'!$E$3-YEAR(IF(J26&lt;&gt;"",J26,C26))+1)+1)/(IF(J26&lt;&gt;"",K26,G26)*(IF(J26&lt;&gt;"",K26,G26)+1)/2),12/W26))))</f>
        <v/>
      </c>
      <c r="I26" s="4" t="inlineStr"/>
      <c r="J26" s="4" t="inlineStr"/>
      <c r="K26" t="inlineStr"/>
      <c r="L26" t="inlineStr"/>
      <c r="M26" s="6" t="n">
        <v>100000</v>
      </c>
      <c r="N26" s="6" t="n">
        <v>9000</v>
      </c>
      <c r="O26" s="6" t="n">
        <v>42000</v>
      </c>
      <c r="P26" s="6">
        <f>IF(OR(O26="",N26=""),"",O26+N26)</f>
        <v/>
      </c>
      <c r="Q26" s="4" t="inlineStr"/>
      <c r="R26" s="6" t="inlineStr"/>
      <c r="S26" s="4" t="inlineStr"/>
      <c r="T26" s="4" t="inlineStr"/>
      <c r="U26">
        <f>(YEAR('기준정보'!$E$2)-YEAR(C26))*12+MONTH('기준정보'!$E$2)-MONTH(C26)+1</f>
        <v/>
      </c>
      <c r="V26" t="n">
        <v>12</v>
      </c>
      <c r="W26" t="inlineStr"/>
      <c r="X26" s="6" t="n">
        <v>20000000</v>
      </c>
      <c r="Y26" s="6">
        <f>X26-E26</f>
        <v/>
      </c>
      <c r="Z26" s="6" t="inlineStr"/>
      <c r="AA26" t="inlineStr">
        <is>
          <t>-</t>
        </is>
      </c>
      <c r="AB26" t="inlineStr">
        <is>
          <t>-</t>
        </is>
      </c>
      <c r="AC26" s="6" t="n">
        <v>1620000</v>
      </c>
      <c r="AD26" s="6">
        <f>IF(IF(J26&lt;&gt;"",IF(L26&lt;&gt;"",L26,F26),F26)="생산량비례법",(D26-E26)*N26/M26,IF(IF(J26&lt;&gt;"",IF(L26&lt;&gt;"",L26,F26),F26)="정률법",IF(X26-X26*H26*V26/12&lt;=(D26+IF(R26&lt;&gt;"",R26,0))*0.05,Y26,X26*H26*V26/12),IF(IF(J26&lt;&gt;"",IF(L26&lt;&gt;"",L26,F26),F26)="이중체감법",IF(X26-X26*H26*V26/12&lt;=E26,Y26,X26*H26*V26/12),Y26*H26*V26/12)))</f>
        <v/>
      </c>
      <c r="AE26" s="6">
        <f>AD26-AC26</f>
        <v/>
      </c>
      <c r="AF26" s="6" t="inlineStr"/>
      <c r="AG26" s="6">
        <f>IF(F26="생산량비례법",IF(O26&lt;&gt;"",(D26-E26)*O26/M26,""),(D26+IF(AND(R26&lt;&gt;"",Q26&lt;='기준정보'!$E$4),R26,0))-Z26)</f>
        <v/>
      </c>
      <c r="AH26" s="6" t="inlineStr"/>
      <c r="AI26" s="6">
        <f>IF(AF26="","",AF26+AC26)</f>
        <v/>
      </c>
      <c r="AJ26" s="6">
        <f>IF(AG26="","",AG26+AD26)</f>
        <v/>
      </c>
      <c r="AK26" s="6" t="inlineStr"/>
      <c r="AL26" t="inlineStr">
        <is>
          <t>경미한 차이</t>
        </is>
      </c>
      <c r="AM26" t="inlineStr">
        <is>
          <t>-</t>
        </is>
      </c>
      <c r="AN26" t="inlineStr">
        <is>
          <t>-</t>
        </is>
      </c>
    </row>
    <row r="27">
      <c r="A27" t="inlineStr">
        <is>
          <t>생산량비례법기본자산_유형02</t>
        </is>
      </c>
      <c r="B27" t="inlineStr">
        <is>
          <t>유형자산</t>
        </is>
      </c>
      <c r="C27" s="4" t="n">
        <v>44562</v>
      </c>
      <c r="D27" s="6" t="n">
        <v>20000000</v>
      </c>
      <c r="E27" s="6" t="n">
        <v>2000000</v>
      </c>
      <c r="F27" t="inlineStr">
        <is>
          <t>생산량비례법</t>
        </is>
      </c>
      <c r="G27" t="n">
        <v>1</v>
      </c>
      <c r="H27" s="12">
        <f>IF(IF(J27&lt;&gt;"",IF(L27&lt;&gt;"",L27,F27),F27)="정률법",VLOOKUP(IF(J27&lt;&gt;"",K27,G27),'상각률표(별표4)'!$A$2:$C$60,3,FALSE),IF(IF(J27&lt;&gt;"",IF(L27&lt;&gt;"",L27,F27),F27)="생산량비례법","-",IF(IF(J27&lt;&gt;"",IF(L27&lt;&gt;"",L27,F27),F27)="이중체감법",2/IF(J27&lt;&gt;"",K27,G27),IF(IF(J27&lt;&gt;"",IF(L27&lt;&gt;"",L27,F27),F27)="연수합계법",(IF(J27&lt;&gt;"",K27,G27)-('기준정보'!$E$3-YEAR(IF(J27&lt;&gt;"",J27,C27))+1)+1)/(IF(J27&lt;&gt;"",K27,G27)*(IF(J27&lt;&gt;"",K27,G27)+1)/2),12/W27))))</f>
        <v/>
      </c>
      <c r="I27" s="4" t="inlineStr"/>
      <c r="J27" s="4" t="inlineStr"/>
      <c r="K27" t="inlineStr"/>
      <c r="L27" t="inlineStr"/>
      <c r="M27" s="6" t="n">
        <v>100000</v>
      </c>
      <c r="N27" s="6" t="n">
        <v>10000</v>
      </c>
      <c r="O27" s="6" t="n">
        <v>44000</v>
      </c>
      <c r="P27" s="6">
        <f>IF(OR(O27="",N27=""),"",O27+N27)</f>
        <v/>
      </c>
      <c r="Q27" s="4" t="inlineStr"/>
      <c r="R27" s="6" t="inlineStr"/>
      <c r="S27" s="4" t="inlineStr"/>
      <c r="T27" s="4" t="inlineStr"/>
      <c r="U27">
        <f>(YEAR('기준정보'!$E$2)-YEAR(C27))*12+MONTH('기준정보'!$E$2)-MONTH(C27)+1</f>
        <v/>
      </c>
      <c r="V27" t="n">
        <v>12</v>
      </c>
      <c r="W27" t="inlineStr"/>
      <c r="X27" s="6" t="n">
        <v>20000000</v>
      </c>
      <c r="Y27" s="6">
        <f>X27-E27</f>
        <v/>
      </c>
      <c r="Z27" s="6" t="inlineStr"/>
      <c r="AA27" t="inlineStr">
        <is>
          <t>-</t>
        </is>
      </c>
      <c r="AB27" t="inlineStr">
        <is>
          <t>-</t>
        </is>
      </c>
      <c r="AC27" s="6" t="n">
        <v>1800000</v>
      </c>
      <c r="AD27" s="6">
        <f>IF(IF(J27&lt;&gt;"",IF(L27&lt;&gt;"",L27,F27),F27)="생산량비례법",(D27-E27)*N27/M27,IF(IF(J27&lt;&gt;"",IF(L27&lt;&gt;"",L27,F27),F27)="정률법",IF(X27-X27*H27*V27/12&lt;=(D27+IF(R27&lt;&gt;"",R27,0))*0.05,Y27,X27*H27*V27/12),IF(IF(J27&lt;&gt;"",IF(L27&lt;&gt;"",L27,F27),F27)="이중체감법",IF(X27-X27*H27*V27/12&lt;=E27,Y27,X27*H27*V27/12),Y27*H27*V27/12)))</f>
        <v/>
      </c>
      <c r="AE27" s="6">
        <f>AD27-AC27</f>
        <v/>
      </c>
      <c r="AF27" s="6" t="inlineStr"/>
      <c r="AG27" s="6">
        <f>IF(F27="생산량비례법",IF(O27&lt;&gt;"",(D27-E27)*O27/M27,""),(D27+IF(AND(R27&lt;&gt;"",Q27&lt;='기준정보'!$E$4),R27,0))-Z27)</f>
        <v/>
      </c>
      <c r="AH27" s="6" t="inlineStr"/>
      <c r="AI27" s="6">
        <f>IF(AF27="","",AF27+AC27)</f>
        <v/>
      </c>
      <c r="AJ27" s="6">
        <f>IF(AG27="","",AG27+AD27)</f>
        <v/>
      </c>
      <c r="AK27" s="6" t="inlineStr"/>
      <c r="AL27" t="inlineStr">
        <is>
          <t>경미한 차이</t>
        </is>
      </c>
      <c r="AM27" t="inlineStr">
        <is>
          <t>-</t>
        </is>
      </c>
      <c r="AN27" t="inlineStr">
        <is>
          <t>-</t>
        </is>
      </c>
    </row>
    <row r="28">
      <c r="A28" t="inlineStr">
        <is>
          <t>생산량비례법기본자산_유형03</t>
        </is>
      </c>
      <c r="B28" t="inlineStr">
        <is>
          <t>유형자산</t>
        </is>
      </c>
      <c r="C28" s="4" t="n">
        <v>44562</v>
      </c>
      <c r="D28" s="6" t="n">
        <v>20000000</v>
      </c>
      <c r="E28" s="6" t="n">
        <v>2000000</v>
      </c>
      <c r="F28" t="inlineStr">
        <is>
          <t>생산량비례법</t>
        </is>
      </c>
      <c r="G28" t="n">
        <v>1</v>
      </c>
      <c r="H28" s="12">
        <f>IF(IF(J28&lt;&gt;"",IF(L28&lt;&gt;"",L28,F28),F28)="정률법",VLOOKUP(IF(J28&lt;&gt;"",K28,G28),'상각률표(별표4)'!$A$2:$C$60,3,FALSE),IF(IF(J28&lt;&gt;"",IF(L28&lt;&gt;"",L28,F28),F28)="생산량비례법","-",IF(IF(J28&lt;&gt;"",IF(L28&lt;&gt;"",L28,F28),F28)="이중체감법",2/IF(J28&lt;&gt;"",K28,G28),IF(IF(J28&lt;&gt;"",IF(L28&lt;&gt;"",L28,F28),F28)="연수합계법",(IF(J28&lt;&gt;"",K28,G28)-('기준정보'!$E$3-YEAR(IF(J28&lt;&gt;"",J28,C28))+1)+1)/(IF(J28&lt;&gt;"",K28,G28)*(IF(J28&lt;&gt;"",K28,G28)+1)/2),12/W28))))</f>
        <v/>
      </c>
      <c r="I28" s="4" t="inlineStr"/>
      <c r="J28" s="4" t="inlineStr"/>
      <c r="K28" t="inlineStr"/>
      <c r="L28" t="inlineStr"/>
      <c r="M28" s="6" t="n">
        <v>100000</v>
      </c>
      <c r="N28" s="6" t="n">
        <v>11000</v>
      </c>
      <c r="O28" s="6" t="n">
        <v>46000</v>
      </c>
      <c r="P28" s="6">
        <f>IF(OR(O28="",N28=""),"",O28+N28)</f>
        <v/>
      </c>
      <c r="Q28" s="4" t="inlineStr"/>
      <c r="R28" s="6" t="inlineStr"/>
      <c r="S28" s="4" t="inlineStr"/>
      <c r="T28" s="4" t="inlineStr"/>
      <c r="U28">
        <f>(YEAR('기준정보'!$E$2)-YEAR(C28))*12+MONTH('기준정보'!$E$2)-MONTH(C28)+1</f>
        <v/>
      </c>
      <c r="V28" t="n">
        <v>12</v>
      </c>
      <c r="W28" t="inlineStr"/>
      <c r="X28" s="6" t="n">
        <v>20000000</v>
      </c>
      <c r="Y28" s="6">
        <f>X28-E28</f>
        <v/>
      </c>
      <c r="Z28" s="6" t="inlineStr"/>
      <c r="AA28" t="inlineStr">
        <is>
          <t>-</t>
        </is>
      </c>
      <c r="AB28" t="inlineStr">
        <is>
          <t>-</t>
        </is>
      </c>
      <c r="AC28" s="6" t="n">
        <v>1980000</v>
      </c>
      <c r="AD28" s="6">
        <f>IF(IF(J28&lt;&gt;"",IF(L28&lt;&gt;"",L28,F28),F28)="생산량비례법",(D28-E28)*N28/M28,IF(IF(J28&lt;&gt;"",IF(L28&lt;&gt;"",L28,F28),F28)="정률법",IF(X28-X28*H28*V28/12&lt;=(D28+IF(R28&lt;&gt;"",R28,0))*0.05,Y28,X28*H28*V28/12),IF(IF(J28&lt;&gt;"",IF(L28&lt;&gt;"",L28,F28),F28)="이중체감법",IF(X28-X28*H28*V28/12&lt;=E28,Y28,X28*H28*V28/12),Y28*H28*V28/12)))</f>
        <v/>
      </c>
      <c r="AE28" s="6">
        <f>AD28-AC28</f>
        <v/>
      </c>
      <c r="AF28" s="6" t="inlineStr"/>
      <c r="AG28" s="6">
        <f>IF(F28="생산량비례법",IF(O28&lt;&gt;"",(D28-E28)*O28/M28,""),(D28+IF(AND(R28&lt;&gt;"",Q28&lt;='기준정보'!$E$4),R28,0))-Z28)</f>
        <v/>
      </c>
      <c r="AH28" s="6" t="inlineStr"/>
      <c r="AI28" s="6">
        <f>IF(AF28="","",AF28+AC28)</f>
        <v/>
      </c>
      <c r="AJ28" s="6">
        <f>IF(AG28="","",AG28+AD28)</f>
        <v/>
      </c>
      <c r="AK28" s="6" t="inlineStr"/>
      <c r="AL28" t="inlineStr">
        <is>
          <t>경미한 차이</t>
        </is>
      </c>
      <c r="AM28" t="inlineStr">
        <is>
          <t>-</t>
        </is>
      </c>
      <c r="AN28" t="inlineStr">
        <is>
          <t>-</t>
        </is>
      </c>
    </row>
    <row r="29">
      <c r="A29" t="inlineStr">
        <is>
          <t>생산량비례법기본자산_유형04</t>
        </is>
      </c>
      <c r="B29" t="inlineStr">
        <is>
          <t>유형자산</t>
        </is>
      </c>
      <c r="C29" s="4" t="n">
        <v>44562</v>
      </c>
      <c r="D29" s="6" t="n">
        <v>20000000</v>
      </c>
      <c r="E29" s="6" t="n">
        <v>2000000</v>
      </c>
      <c r="F29" t="inlineStr">
        <is>
          <t>생산량비례법</t>
        </is>
      </c>
      <c r="G29" t="n">
        <v>1</v>
      </c>
      <c r="H29" s="12">
        <f>IF(IF(J29&lt;&gt;"",IF(L29&lt;&gt;"",L29,F29),F29)="정률법",VLOOKUP(IF(J29&lt;&gt;"",K29,G29),'상각률표(별표4)'!$A$2:$C$60,3,FALSE),IF(IF(J29&lt;&gt;"",IF(L29&lt;&gt;"",L29,F29),F29)="생산량비례법","-",IF(IF(J29&lt;&gt;"",IF(L29&lt;&gt;"",L29,F29),F29)="이중체감법",2/IF(J29&lt;&gt;"",K29,G29),IF(IF(J29&lt;&gt;"",IF(L29&lt;&gt;"",L29,F29),F29)="연수합계법",(IF(J29&lt;&gt;"",K29,G29)-('기준정보'!$E$3-YEAR(IF(J29&lt;&gt;"",J29,C29))+1)+1)/(IF(J29&lt;&gt;"",K29,G29)*(IF(J29&lt;&gt;"",K29,G29)+1)/2),12/W29))))</f>
        <v/>
      </c>
      <c r="I29" s="4" t="inlineStr"/>
      <c r="J29" s="4" t="inlineStr"/>
      <c r="K29" t="inlineStr"/>
      <c r="L29" t="inlineStr"/>
      <c r="M29" s="6" t="n">
        <v>100000</v>
      </c>
      <c r="N29" s="6" t="n">
        <v>12000</v>
      </c>
      <c r="O29" s="6" t="inlineStr"/>
      <c r="P29" s="6">
        <f>IF(OR(O29="",N29=""),"",O29+N29)</f>
        <v/>
      </c>
      <c r="Q29" s="4" t="inlineStr"/>
      <c r="R29" s="6" t="inlineStr"/>
      <c r="S29" s="4" t="inlineStr"/>
      <c r="T29" s="4" t="inlineStr"/>
      <c r="U29">
        <f>(YEAR('기준정보'!$E$2)-YEAR(C29))*12+MONTH('기준정보'!$E$2)-MONTH(C29)+1</f>
        <v/>
      </c>
      <c r="V29" t="n">
        <v>12</v>
      </c>
      <c r="W29" t="inlineStr"/>
      <c r="X29" s="6" t="n">
        <v>20000000</v>
      </c>
      <c r="Y29" s="6">
        <f>X29-E29</f>
        <v/>
      </c>
      <c r="Z29" s="6" t="inlineStr"/>
      <c r="AA29" t="inlineStr">
        <is>
          <t>-</t>
        </is>
      </c>
      <c r="AB29" t="inlineStr">
        <is>
          <t>-</t>
        </is>
      </c>
      <c r="AC29" s="6" t="n">
        <v>2160000</v>
      </c>
      <c r="AD29" s="6">
        <f>IF(IF(J29&lt;&gt;"",IF(L29&lt;&gt;"",L29,F29),F29)="생산량비례법",(D29-E29)*N29/M29,IF(IF(J29&lt;&gt;"",IF(L29&lt;&gt;"",L29,F29),F29)="정률법",IF(X29-X29*H29*V29/12&lt;=(D29+IF(R29&lt;&gt;"",R29,0))*0.05,Y29,X29*H29*V29/12),IF(IF(J29&lt;&gt;"",IF(L29&lt;&gt;"",L29,F29),F29)="이중체감법",IF(X29-X29*H29*V29/12&lt;=E29,Y29,X29*H29*V29/12),Y29*H29*V29/12)))</f>
        <v/>
      </c>
      <c r="AE29" s="6">
        <f>AD29-AC29</f>
        <v/>
      </c>
      <c r="AF29" s="6" t="inlineStr"/>
      <c r="AG29" s="6" t="inlineStr"/>
      <c r="AH29" s="6" t="inlineStr"/>
      <c r="AI29" s="6">
        <f>IF(AF29="","",AF29+AC29)</f>
        <v/>
      </c>
      <c r="AJ29" s="6">
        <f>IF(AG29="","",AG29+AD29)</f>
        <v/>
      </c>
      <c r="AK29" s="6" t="inlineStr"/>
      <c r="AL29" t="inlineStr">
        <is>
          <t>경미한 차이</t>
        </is>
      </c>
      <c r="AM29" t="inlineStr">
        <is>
          <t>-</t>
        </is>
      </c>
      <c r="AN29" t="inlineStr">
        <is>
          <t>-</t>
        </is>
      </c>
    </row>
    <row r="30">
      <c r="A30" t="inlineStr">
        <is>
          <t>생산량비례법기본자산_무형01</t>
        </is>
      </c>
      <c r="B30" t="inlineStr">
        <is>
          <t>무형자산</t>
        </is>
      </c>
      <c r="C30" s="4" t="n">
        <v>44927</v>
      </c>
      <c r="D30" s="6" t="n">
        <v>15000000</v>
      </c>
      <c r="E30" s="6" t="n">
        <v>0</v>
      </c>
      <c r="F30" t="inlineStr">
        <is>
          <t>생산량비례법</t>
        </is>
      </c>
      <c r="G30" t="n">
        <v>1</v>
      </c>
      <c r="H30" s="12">
        <f>IF(IF(J30&lt;&gt;"",IF(L30&lt;&gt;"",L30,F30),F30)="정률법",VLOOKUP(IF(J30&lt;&gt;"",K30,G30),'상각률표(별표4)'!$A$2:$C$60,3,FALSE),IF(IF(J30&lt;&gt;"",IF(L30&lt;&gt;"",L30,F30),F30)="생산량비례법","-",IF(IF(J30&lt;&gt;"",IF(L30&lt;&gt;"",L30,F30),F30)="이중체감법",2/IF(J30&lt;&gt;"",K30,G30),IF(IF(J30&lt;&gt;"",IF(L30&lt;&gt;"",L30,F30),F30)="연수합계법",(IF(J30&lt;&gt;"",K30,G30)-('기준정보'!$E$3-YEAR(IF(J30&lt;&gt;"",J30,C30))+1)+1)/(IF(J30&lt;&gt;"",K30,G30)*(IF(J30&lt;&gt;"",K30,G30)+1)/2),12/W30))))</f>
        <v/>
      </c>
      <c r="I30" s="4" t="inlineStr"/>
      <c r="J30" s="4" t="inlineStr"/>
      <c r="K30" t="inlineStr"/>
      <c r="L30" t="inlineStr"/>
      <c r="M30" s="6" t="n">
        <v>50000</v>
      </c>
      <c r="N30" s="6" t="n">
        <v>6500</v>
      </c>
      <c r="O30" s="6" t="n">
        <v>21000</v>
      </c>
      <c r="P30" s="6">
        <f>IF(OR(O30="",N30=""),"",O30+N30)</f>
        <v/>
      </c>
      <c r="Q30" s="4" t="inlineStr"/>
      <c r="R30" s="6" t="inlineStr"/>
      <c r="S30" s="4" t="inlineStr"/>
      <c r="T30" s="4" t="inlineStr"/>
      <c r="U30">
        <f>(YEAR('기준정보'!$E$2)-YEAR(C30))*12+MONTH('기준정보'!$E$2)-MONTH(C30)+1</f>
        <v/>
      </c>
      <c r="V30" t="n">
        <v>12</v>
      </c>
      <c r="W30" t="inlineStr"/>
      <c r="X30" s="6" t="n">
        <v>15000000</v>
      </c>
      <c r="Y30" s="6">
        <f>X30-E30</f>
        <v/>
      </c>
      <c r="Z30" s="6" t="inlineStr"/>
      <c r="AA30" t="inlineStr">
        <is>
          <t>-</t>
        </is>
      </c>
      <c r="AB30" t="inlineStr">
        <is>
          <t>-</t>
        </is>
      </c>
      <c r="AC30" s="6" t="n">
        <v>1950000</v>
      </c>
      <c r="AD30" s="6">
        <f>IF(IF(J30&lt;&gt;"",IF(L30&lt;&gt;"",L30,F30),F30)="생산량비례법",(D30-E30)*N30/M30,IF(IF(J30&lt;&gt;"",IF(L30&lt;&gt;"",L30,F30),F30)="정률법",IF(X30-X30*H30*V30/12&lt;=(D30+IF(R30&lt;&gt;"",R30,0))*0.05,Y30,X30*H30*V30/12),IF(IF(J30&lt;&gt;"",IF(L30&lt;&gt;"",L30,F30),F30)="이중체감법",IF(X30-X30*H30*V30/12&lt;=E30,Y30,X30*H30*V30/12),Y30*H30*V30/12)))</f>
        <v/>
      </c>
      <c r="AE30" s="6">
        <f>AD30-AC30</f>
        <v/>
      </c>
      <c r="AF30" s="6" t="inlineStr"/>
      <c r="AG30" s="6">
        <f>IF(F30="생산량비례법",IF(O30&lt;&gt;"",(D30-E30)*O30/M30,""),(D30+IF(AND(R30&lt;&gt;"",Q30&lt;='기준정보'!$E$4),R30,0))-Z30)</f>
        <v/>
      </c>
      <c r="AH30" s="6" t="inlineStr"/>
      <c r="AI30" s="6">
        <f>IF(AF30="","",AF30+AC30)</f>
        <v/>
      </c>
      <c r="AJ30" s="6">
        <f>IF(AG30="","",AG30+AD30)</f>
        <v/>
      </c>
      <c r="AK30" s="6" t="inlineStr"/>
      <c r="AL30" t="inlineStr">
        <is>
          <t>경미한 차이</t>
        </is>
      </c>
      <c r="AM30" t="inlineStr">
        <is>
          <t>-</t>
        </is>
      </c>
      <c r="AN30" t="inlineStr">
        <is>
          <t>-</t>
        </is>
      </c>
    </row>
    <row r="31">
      <c r="A31" t="inlineStr">
        <is>
          <t>생산량비례법기본자산_무형02</t>
        </is>
      </c>
      <c r="B31" t="inlineStr">
        <is>
          <t>무형자산</t>
        </is>
      </c>
      <c r="C31" s="4" t="n">
        <v>44927</v>
      </c>
      <c r="D31" s="6" t="n">
        <v>15000000</v>
      </c>
      <c r="E31" s="6" t="n">
        <v>0</v>
      </c>
      <c r="F31" t="inlineStr">
        <is>
          <t>생산량비례법</t>
        </is>
      </c>
      <c r="G31" t="n">
        <v>1</v>
      </c>
      <c r="H31" s="12">
        <f>IF(IF(J31&lt;&gt;"",IF(L31&lt;&gt;"",L31,F31),F31)="정률법",VLOOKUP(IF(J31&lt;&gt;"",K31,G31),'상각률표(별표4)'!$A$2:$C$60,3,FALSE),IF(IF(J31&lt;&gt;"",IF(L31&lt;&gt;"",L31,F31),F31)="생산량비례법","-",IF(IF(J31&lt;&gt;"",IF(L31&lt;&gt;"",L31,F31),F31)="이중체감법",2/IF(J31&lt;&gt;"",K31,G31),IF(IF(J31&lt;&gt;"",IF(L31&lt;&gt;"",L31,F31),F31)="연수합계법",(IF(J31&lt;&gt;"",K31,G31)-('기준정보'!$E$3-YEAR(IF(J31&lt;&gt;"",J31,C31))+1)+1)/(IF(J31&lt;&gt;"",K31,G31)*(IF(J31&lt;&gt;"",K31,G31)+1)/2),12/W31))))</f>
        <v/>
      </c>
      <c r="I31" s="4" t="inlineStr"/>
      <c r="J31" s="4" t="inlineStr"/>
      <c r="K31" t="inlineStr"/>
      <c r="L31" t="inlineStr"/>
      <c r="M31" s="6" t="n">
        <v>50000</v>
      </c>
      <c r="N31" s="6" t="n">
        <v>7000</v>
      </c>
      <c r="O31" s="6" t="n">
        <v>22000</v>
      </c>
      <c r="P31" s="6">
        <f>IF(OR(O31="",N31=""),"",O31+N31)</f>
        <v/>
      </c>
      <c r="Q31" s="4" t="inlineStr"/>
      <c r="R31" s="6" t="inlineStr"/>
      <c r="S31" s="4" t="inlineStr"/>
      <c r="T31" s="4" t="inlineStr"/>
      <c r="U31">
        <f>(YEAR('기준정보'!$E$2)-YEAR(C31))*12+MONTH('기준정보'!$E$2)-MONTH(C31)+1</f>
        <v/>
      </c>
      <c r="V31" t="n">
        <v>12</v>
      </c>
      <c r="W31" t="inlineStr"/>
      <c r="X31" s="6" t="n">
        <v>15000000</v>
      </c>
      <c r="Y31" s="6">
        <f>X31-E31</f>
        <v/>
      </c>
      <c r="Z31" s="6" t="inlineStr"/>
      <c r="AA31" t="inlineStr">
        <is>
          <t>-</t>
        </is>
      </c>
      <c r="AB31" t="inlineStr">
        <is>
          <t>-</t>
        </is>
      </c>
      <c r="AC31" s="6" t="n">
        <v>2100000</v>
      </c>
      <c r="AD31" s="6">
        <f>IF(IF(J31&lt;&gt;"",IF(L31&lt;&gt;"",L31,F31),F31)="생산량비례법",(D31-E31)*N31/M31,IF(IF(J31&lt;&gt;"",IF(L31&lt;&gt;"",L31,F31),F31)="정률법",IF(X31-X31*H31*V31/12&lt;=(D31+IF(R31&lt;&gt;"",R31,0))*0.05,Y31,X31*H31*V31/12),IF(IF(J31&lt;&gt;"",IF(L31&lt;&gt;"",L31,F31),F31)="이중체감법",IF(X31-X31*H31*V31/12&lt;=E31,Y31,X31*H31*V31/12),Y31*H31*V31/12)))</f>
        <v/>
      </c>
      <c r="AE31" s="6">
        <f>AD31-AC31</f>
        <v/>
      </c>
      <c r="AF31" s="6" t="inlineStr"/>
      <c r="AG31" s="6">
        <f>IF(F31="생산량비례법",IF(O31&lt;&gt;"",(D31-E31)*O31/M31,""),(D31+IF(AND(R31&lt;&gt;"",Q31&lt;='기준정보'!$E$4),R31,0))-Z31)</f>
        <v/>
      </c>
      <c r="AH31" s="6" t="inlineStr"/>
      <c r="AI31" s="6">
        <f>IF(AF31="","",AF31+AC31)</f>
        <v/>
      </c>
      <c r="AJ31" s="6">
        <f>IF(AG31="","",AG31+AD31)</f>
        <v/>
      </c>
      <c r="AK31" s="6" t="inlineStr"/>
      <c r="AL31" t="inlineStr">
        <is>
          <t>경미한 차이</t>
        </is>
      </c>
      <c r="AM31" t="inlineStr">
        <is>
          <t>-</t>
        </is>
      </c>
      <c r="AN31" t="inlineStr">
        <is>
          <t>-</t>
        </is>
      </c>
    </row>
    <row r="32">
      <c r="A32" t="inlineStr">
        <is>
          <t>처분_정액_당기중_유형01</t>
        </is>
      </c>
      <c r="B32" t="inlineStr">
        <is>
          <t>유형자산</t>
        </is>
      </c>
      <c r="C32" s="4" t="n">
        <v>44197</v>
      </c>
      <c r="D32" s="6" t="n">
        <v>10000000</v>
      </c>
      <c r="E32" s="6" t="n">
        <v>0</v>
      </c>
      <c r="F32" t="inlineStr">
        <is>
          <t>정액법</t>
        </is>
      </c>
      <c r="G32" t="n">
        <v>5</v>
      </c>
      <c r="H32" s="12">
        <f>IF(IF(J32&lt;&gt;"",IF(L32&lt;&gt;"",L32,F32),F32)="정률법",VLOOKUP(IF(J32&lt;&gt;"",K32,G32),'상각률표(별표4)'!$A$2:$C$60,3,FALSE),IF(IF(J32&lt;&gt;"",IF(L32&lt;&gt;"",L32,F32),F32)="생산량비례법","-",IF(IF(J32&lt;&gt;"",IF(L32&lt;&gt;"",L32,F32),F32)="이중체감법",2/IF(J32&lt;&gt;"",K32,G32),IF(IF(J32&lt;&gt;"",IF(L32&lt;&gt;"",L32,F32),F32)="연수합계법",(IF(J32&lt;&gt;"",K32,G32)-('기준정보'!$E$3-YEAR(IF(J32&lt;&gt;"",J32,C32))+1)+1)/(IF(J32&lt;&gt;"",K32,G32)*(IF(J32&lt;&gt;"",K32,G32)+1)/2),12/W32))))</f>
        <v/>
      </c>
      <c r="I32" s="4" t="n">
        <v>45838</v>
      </c>
      <c r="J32" s="4" t="inlineStr"/>
      <c r="K32" t="inlineStr"/>
      <c r="L32" t="inlineStr"/>
      <c r="M32" s="6" t="inlineStr"/>
      <c r="N32" s="6" t="inlineStr"/>
      <c r="O32" s="6" t="inlineStr"/>
      <c r="P32" s="6">
        <f>IF(OR(O32="",N32=""),"",O32+N32)</f>
        <v/>
      </c>
      <c r="Q32" s="4" t="inlineStr"/>
      <c r="R32" s="6" t="inlineStr"/>
      <c r="S32" s="4" t="inlineStr"/>
      <c r="T32" s="4" t="inlineStr"/>
      <c r="U32">
        <f>(YEAR('기준정보'!$E$2)-YEAR(C32))*12+MONTH('기준정보'!$E$2)-MONTH(C32)+1</f>
        <v/>
      </c>
      <c r="V32">
        <f>MAX(0,MAX(0,MIN((IF(J32&lt;&gt;"",YEAR(J32)*12+MONTH(J32),YEAR(C32)*12+MONTH(C32))+W32-1),('기준정보'!$E$3*12+12),IF(I32&lt;&gt;"",YEAR(I32)*12+MONTH(I32),9999999))-MAX(IF(J32&lt;&gt;"",YEAR(J32)*12+MONTH(J32),YEAR(C32)*12+MONTH(C32)),('기준정보'!$E$3*12+1))+1)-IF(S32&lt;&gt;"",MAX(0,MIN(MIN((IF(J32&lt;&gt;"",YEAR(J32)*12+MONTH(J32),YEAR(C32)*12+MONTH(C32))+W32-1),('기준정보'!$E$3*12+12),IF(I32&lt;&gt;"",YEAR(I32)*12+MONTH(I32),9999999)),YEAR(T32)*12+MONTH(T32))-MAX(MAX(IF(J32&lt;&gt;"",YEAR(J32)*12+MONTH(J32),YEAR(C32)*12+MONTH(C32)),('기준정보'!$E$3*12+1)),YEAR(S32)*12+MONTH(S32))+1),0))</f>
        <v/>
      </c>
      <c r="W32">
        <f>IF(J32&lt;&gt;"",K32,G32)*12</f>
        <v/>
      </c>
      <c r="X32" s="6" t="n">
        <v>10000000</v>
      </c>
      <c r="Y32" s="6">
        <f>X32-E32</f>
        <v/>
      </c>
      <c r="Z32" s="6" t="n">
        <v>2000000</v>
      </c>
      <c r="AA32" t="inlineStr">
        <is>
          <t>-</t>
        </is>
      </c>
      <c r="AB32" t="inlineStr">
        <is>
          <t>당기중처분(2025-06-30)</t>
        </is>
      </c>
      <c r="AC32" s="6" t="n">
        <v>1000000</v>
      </c>
      <c r="AD32" s="6">
        <f>IF(IF(J32&lt;&gt;"",IF(L32&lt;&gt;"",L32,F32),F32)="생산량비례법",(D32-E32)*N32/M32,IF(IF(J32&lt;&gt;"",IF(L32&lt;&gt;"",L32,F32),F32)="정률법",IF(X32-X32*H32*V32/12&lt;=(D32+IF(R32&lt;&gt;"",R32,0))*0.05,Y32,X32*H32*V32/12),IF(IF(J32&lt;&gt;"",IF(L32&lt;&gt;"",L32,F32),F32)="이중체감법",IF(X32-X32*H32*V32/12&lt;=E32,Y32,X32*H32*V32/12),Y32*H32*V32/12)))</f>
        <v/>
      </c>
      <c r="AE32" s="6">
        <f>AD32-AC32</f>
        <v/>
      </c>
      <c r="AF32" s="6" t="n">
        <v>8000000</v>
      </c>
      <c r="AG32" s="6">
        <f>IF(F32="생산량비례법",IF(O32&lt;&gt;"",(D32-E32)*O32/M32,""),(D32+IF(AND(R32&lt;&gt;"",Q32&lt;='기준정보'!$E$4),R32,0))-Z32)</f>
        <v/>
      </c>
      <c r="AH32" s="6">
        <f>AG32-AF32</f>
        <v/>
      </c>
      <c r="AI32" s="6">
        <f>IF(AF32="","",AF32+AC32)</f>
        <v/>
      </c>
      <c r="AJ32" s="6">
        <f>IF(AG32="","",AG32+AD32)</f>
        <v/>
      </c>
      <c r="AK32" s="6">
        <f>AJ32-AI32</f>
        <v/>
      </c>
      <c r="AL32" t="inlineStr">
        <is>
          <t>경미한 차이</t>
        </is>
      </c>
      <c r="AM32" t="inlineStr">
        <is>
          <t>-</t>
        </is>
      </c>
      <c r="AN32" t="inlineStr">
        <is>
          <t>-</t>
        </is>
      </c>
    </row>
    <row r="33">
      <c r="A33" t="inlineStr">
        <is>
          <t>처분_정액_당기중_무형01</t>
        </is>
      </c>
      <c r="B33" t="inlineStr">
        <is>
          <t>무형자산</t>
        </is>
      </c>
      <c r="C33" s="4" t="n">
        <v>44562</v>
      </c>
      <c r="D33" s="6" t="n">
        <v>8000000</v>
      </c>
      <c r="E33" s="6" t="n">
        <v>0</v>
      </c>
      <c r="F33" t="inlineStr">
        <is>
          <t>정액법</t>
        </is>
      </c>
      <c r="G33" t="n">
        <v>4</v>
      </c>
      <c r="H33" s="12">
        <f>IF(IF(J33&lt;&gt;"",IF(L33&lt;&gt;"",L33,F33),F33)="정률법",VLOOKUP(IF(J33&lt;&gt;"",K33,G33),'상각률표(별표4)'!$A$2:$C$60,3,FALSE),IF(IF(J33&lt;&gt;"",IF(L33&lt;&gt;"",L33,F33),F33)="생산량비례법","-",IF(IF(J33&lt;&gt;"",IF(L33&lt;&gt;"",L33,F33),F33)="이중체감법",2/IF(J33&lt;&gt;"",K33,G33),IF(IF(J33&lt;&gt;"",IF(L33&lt;&gt;"",L33,F33),F33)="연수합계법",(IF(J33&lt;&gt;"",K33,G33)-('기준정보'!$E$3-YEAR(IF(J33&lt;&gt;"",J33,C33))+1)+1)/(IF(J33&lt;&gt;"",K33,G33)*(IF(J33&lt;&gt;"",K33,G33)+1)/2),12/W33))))</f>
        <v/>
      </c>
      <c r="I33" s="4" t="n">
        <v>45930</v>
      </c>
      <c r="J33" s="4" t="inlineStr"/>
      <c r="K33" t="inlineStr"/>
      <c r="L33" t="inlineStr"/>
      <c r="M33" s="6" t="inlineStr"/>
      <c r="N33" s="6" t="inlineStr"/>
      <c r="O33" s="6" t="inlineStr"/>
      <c r="P33" s="6">
        <f>IF(OR(O33="",N33=""),"",O33+N33)</f>
        <v/>
      </c>
      <c r="Q33" s="4" t="inlineStr"/>
      <c r="R33" s="6" t="inlineStr"/>
      <c r="S33" s="4" t="inlineStr"/>
      <c r="T33" s="4" t="inlineStr"/>
      <c r="U33">
        <f>(YEAR('기준정보'!$E$2)-YEAR(C33))*12+MONTH('기준정보'!$E$2)-MONTH(C33)+1</f>
        <v/>
      </c>
      <c r="V33">
        <f>MAX(0,MAX(0,MIN((IF(J33&lt;&gt;"",YEAR(J33)*12+MONTH(J33),YEAR(C33)*12+MONTH(C33))+W33-1),('기준정보'!$E$3*12+12),IF(I33&lt;&gt;"",YEAR(I33)*12+MONTH(I33),9999999))-MAX(IF(J33&lt;&gt;"",YEAR(J33)*12+MONTH(J33),YEAR(C33)*12+MONTH(C33)),('기준정보'!$E$3*12+1))+1)-IF(S33&lt;&gt;"",MAX(0,MIN(MIN((IF(J33&lt;&gt;"",YEAR(J33)*12+MONTH(J33),YEAR(C33)*12+MONTH(C33))+W33-1),('기준정보'!$E$3*12+12),IF(I33&lt;&gt;"",YEAR(I33)*12+MONTH(I33),9999999)),YEAR(T33)*12+MONTH(T33))-MAX(MAX(IF(J33&lt;&gt;"",YEAR(J33)*12+MONTH(J33),YEAR(C33)*12+MONTH(C33)),('기준정보'!$E$3*12+1)),YEAR(S33)*12+MONTH(S33))+1),0))</f>
        <v/>
      </c>
      <c r="W33">
        <f>IF(J33&lt;&gt;"",K33,G33)*12</f>
        <v/>
      </c>
      <c r="X33" s="6" t="n">
        <v>8000000</v>
      </c>
      <c r="Y33" s="6">
        <f>X33-E33</f>
        <v/>
      </c>
      <c r="Z33" s="6" t="n">
        <v>2000000</v>
      </c>
      <c r="AA33" t="inlineStr">
        <is>
          <t>-</t>
        </is>
      </c>
      <c r="AB33" t="inlineStr">
        <is>
          <t>당기중처분(2025-09-30)</t>
        </is>
      </c>
      <c r="AC33" s="6" t="n">
        <v>1500000</v>
      </c>
      <c r="AD33" s="6">
        <f>IF(IF(J33&lt;&gt;"",IF(L33&lt;&gt;"",L33,F33),F33)="생산량비례법",(D33-E33)*N33/M33,IF(IF(J33&lt;&gt;"",IF(L33&lt;&gt;"",L33,F33),F33)="정률법",IF(X33-X33*H33*V33/12&lt;=(D33+IF(R33&lt;&gt;"",R33,0))*0.05,Y33,X33*H33*V33/12),IF(IF(J33&lt;&gt;"",IF(L33&lt;&gt;"",L33,F33),F33)="이중체감법",IF(X33-X33*H33*V33/12&lt;=E33,Y33,X33*H33*V33/12),Y33*H33*V33/12)))</f>
        <v/>
      </c>
      <c r="AE33" s="6">
        <f>AD33-AC33</f>
        <v/>
      </c>
      <c r="AF33" s="6" t="n">
        <v>6000000</v>
      </c>
      <c r="AG33" s="6">
        <f>IF(F33="생산량비례법",IF(O33&lt;&gt;"",(D33-E33)*O33/M33,""),(D33+IF(AND(R33&lt;&gt;"",Q33&lt;='기준정보'!$E$4),R33,0))-Z33)</f>
        <v/>
      </c>
      <c r="AH33" s="6">
        <f>AG33-AF33</f>
        <v/>
      </c>
      <c r="AI33" s="6">
        <f>IF(AF33="","",AF33+AC33)</f>
        <v/>
      </c>
      <c r="AJ33" s="6">
        <f>IF(AG33="","",AG33+AD33)</f>
        <v/>
      </c>
      <c r="AK33" s="6">
        <f>AJ33-AI33</f>
        <v/>
      </c>
      <c r="AL33" t="inlineStr">
        <is>
          <t>경미한 차이</t>
        </is>
      </c>
      <c r="AM33" t="inlineStr">
        <is>
          <t>-</t>
        </is>
      </c>
      <c r="AN33" t="inlineStr">
        <is>
          <t>-</t>
        </is>
      </c>
    </row>
    <row r="34">
      <c r="A34" t="inlineStr">
        <is>
          <t>처분_정액_전기이전_유형01</t>
        </is>
      </c>
      <c r="B34" t="inlineStr">
        <is>
          <t>유형자산</t>
        </is>
      </c>
      <c r="C34" s="4" t="n">
        <v>43466</v>
      </c>
      <c r="D34" s="6" t="n">
        <v>9000000</v>
      </c>
      <c r="E34" s="6" t="n">
        <v>0</v>
      </c>
      <c r="F34" t="inlineStr">
        <is>
          <t>정액법</t>
        </is>
      </c>
      <c r="G34" t="n">
        <v>5</v>
      </c>
      <c r="H34" s="12">
        <f>IF(IF(J34&lt;&gt;"",IF(L34&lt;&gt;"",L34,F34),F34)="정률법",VLOOKUP(IF(J34&lt;&gt;"",K34,G34),'상각률표(별표4)'!$A$2:$C$60,3,FALSE),IF(IF(J34&lt;&gt;"",IF(L34&lt;&gt;"",L34,F34),F34)="생산량비례법","-",IF(IF(J34&lt;&gt;"",IF(L34&lt;&gt;"",L34,F34),F34)="이중체감법",2/IF(J34&lt;&gt;"",K34,G34),IF(IF(J34&lt;&gt;"",IF(L34&lt;&gt;"",L34,F34),F34)="연수합계법",(IF(J34&lt;&gt;"",K34,G34)-('기준정보'!$E$3-YEAR(IF(J34&lt;&gt;"",J34,C34))+1)+1)/(IF(J34&lt;&gt;"",K34,G34)*(IF(J34&lt;&gt;"",K34,G34)+1)/2),12/W34))))</f>
        <v/>
      </c>
      <c r="I34" s="4" t="n">
        <v>45657</v>
      </c>
      <c r="J34" s="4" t="inlineStr"/>
      <c r="K34" t="inlineStr"/>
      <c r="L34" t="inlineStr"/>
      <c r="M34" s="6" t="inlineStr"/>
      <c r="N34" s="6" t="inlineStr"/>
      <c r="O34" s="6" t="inlineStr"/>
      <c r="P34" s="6">
        <f>IF(OR(O34="",N34=""),"",O34+N34)</f>
        <v/>
      </c>
      <c r="Q34" s="4" t="inlineStr"/>
      <c r="R34" s="6" t="inlineStr"/>
      <c r="S34" s="4" t="inlineStr"/>
      <c r="T34" s="4" t="inlineStr"/>
      <c r="U34">
        <f>(YEAR('기준정보'!$E$2)-YEAR(C34))*12+MONTH('기준정보'!$E$2)-MONTH(C34)+1</f>
        <v/>
      </c>
      <c r="V34">
        <f>MAX(0,MAX(0,MIN((IF(J34&lt;&gt;"",YEAR(J34)*12+MONTH(J34),YEAR(C34)*12+MONTH(C34))+W34-1),('기준정보'!$E$3*12+12),IF(I34&lt;&gt;"",YEAR(I34)*12+MONTH(I34),9999999))-MAX(IF(J34&lt;&gt;"",YEAR(J34)*12+MONTH(J34),YEAR(C34)*12+MONTH(C34)),('기준정보'!$E$3*12+1))+1)-IF(S34&lt;&gt;"",MAX(0,MIN(MIN((IF(J34&lt;&gt;"",YEAR(J34)*12+MONTH(J34),YEAR(C34)*12+MONTH(C34))+W34-1),('기준정보'!$E$3*12+12),IF(I34&lt;&gt;"",YEAR(I34)*12+MONTH(I34),9999999)),YEAR(T34)*12+MONTH(T34))-MAX(MAX(IF(J34&lt;&gt;"",YEAR(J34)*12+MONTH(J34),YEAR(C34)*12+MONTH(C34)),('기준정보'!$E$3*12+1)),YEAR(S34)*12+MONTH(S34))+1),0))</f>
        <v/>
      </c>
      <c r="W34">
        <f>IF(J34&lt;&gt;"",K34,G34)*12</f>
        <v/>
      </c>
      <c r="X34" s="6" t="n">
        <v>9000000</v>
      </c>
      <c r="Y34" s="6">
        <f>X34-E34</f>
        <v/>
      </c>
      <c r="Z34" s="6" t="n">
        <v>0</v>
      </c>
      <c r="AA34" t="inlineStr">
        <is>
          <t>종료</t>
        </is>
      </c>
      <c r="AB34" t="inlineStr">
        <is>
          <t>전기이전처분(2024-12-31)</t>
        </is>
      </c>
      <c r="AC34" s="6" t="n">
        <v>0</v>
      </c>
      <c r="AD34" s="6">
        <f>IF(IF(J34&lt;&gt;"",IF(L34&lt;&gt;"",L34,F34),F34)="생산량비례법",(D34-E34)*N34/M34,IF(IF(J34&lt;&gt;"",IF(L34&lt;&gt;"",L34,F34),F34)="정률법",IF(X34-X34*H34*V34/12&lt;=(D34+IF(R34&lt;&gt;"",R34,0))*0.05,Y34,X34*H34*V34/12),IF(IF(J34&lt;&gt;"",IF(L34&lt;&gt;"",L34,F34),F34)="이중체감법",IF(X34-X34*H34*V34/12&lt;=E34,Y34,X34*H34*V34/12),Y34*H34*V34/12)))</f>
        <v/>
      </c>
      <c r="AE34" s="6">
        <f>AD34-AC34</f>
        <v/>
      </c>
      <c r="AF34" s="6" t="n">
        <v>9000000</v>
      </c>
      <c r="AG34" s="6">
        <f>IF(F34="생산량비례법",IF(O34&lt;&gt;"",(D34-E34)*O34/M34,""),(D34+IF(AND(R34&lt;&gt;"",Q34&lt;='기준정보'!$E$4),R34,0))-Z34)</f>
        <v/>
      </c>
      <c r="AH34" s="6">
        <f>AG34-AF34</f>
        <v/>
      </c>
      <c r="AI34" s="6">
        <f>IF(AF34="","",AF34+AC34)</f>
        <v/>
      </c>
      <c r="AJ34" s="6">
        <f>IF(AG34="","",AG34+AD34)</f>
        <v/>
      </c>
      <c r="AK34" s="6">
        <f>AJ34-AI34</f>
        <v/>
      </c>
      <c r="AL34" t="inlineStr">
        <is>
          <t>경미한 차이</t>
        </is>
      </c>
      <c r="AM34" t="inlineStr">
        <is>
          <t>-</t>
        </is>
      </c>
      <c r="AN34" t="inlineStr">
        <is>
          <t>-</t>
        </is>
      </c>
    </row>
    <row r="35">
      <c r="A35" t="inlineStr">
        <is>
          <t>처분_정률_당기중_유형01</t>
        </is>
      </c>
      <c r="B35" t="inlineStr">
        <is>
          <t>유형자산</t>
        </is>
      </c>
      <c r="C35" s="4" t="n">
        <v>44197</v>
      </c>
      <c r="D35" s="6" t="n">
        <v>15000000</v>
      </c>
      <c r="E35" s="6" t="n">
        <v>0</v>
      </c>
      <c r="F35" t="inlineStr">
        <is>
          <t>정률법</t>
        </is>
      </c>
      <c r="G35" t="n">
        <v>8</v>
      </c>
      <c r="H35" s="12">
        <f>IF(IF(J35&lt;&gt;"",IF(L35&lt;&gt;"",L35,F35),F35)="정률법",VLOOKUP(IF(J35&lt;&gt;"",K35,G35),'상각률표(별표4)'!$A$2:$C$60,3,FALSE),IF(IF(J35&lt;&gt;"",IF(L35&lt;&gt;"",L35,F35),F35)="생산량비례법","-",IF(IF(J35&lt;&gt;"",IF(L35&lt;&gt;"",L35,F35),F35)="이중체감법",2/IF(J35&lt;&gt;"",K35,G35),IF(IF(J35&lt;&gt;"",IF(L35&lt;&gt;"",L35,F35),F35)="연수합계법",(IF(J35&lt;&gt;"",K35,G35)-('기준정보'!$E$3-YEAR(IF(J35&lt;&gt;"",J35,C35))+1)+1)/(IF(J35&lt;&gt;"",K35,G35)*(IF(J35&lt;&gt;"",K35,G35)+1)/2),12/W35))))</f>
        <v/>
      </c>
      <c r="I35" s="4" t="n">
        <v>45777</v>
      </c>
      <c r="J35" s="4" t="inlineStr"/>
      <c r="K35" t="inlineStr"/>
      <c r="L35" t="inlineStr"/>
      <c r="M35" s="6" t="inlineStr"/>
      <c r="N35" s="6" t="inlineStr"/>
      <c r="O35" s="6" t="inlineStr"/>
      <c r="P35" s="6">
        <f>IF(OR(O35="",N35=""),"",O35+N35)</f>
        <v/>
      </c>
      <c r="Q35" s="4" t="inlineStr"/>
      <c r="R35" s="6" t="inlineStr"/>
      <c r="S35" s="4" t="inlineStr"/>
      <c r="T35" s="4" t="inlineStr"/>
      <c r="U35">
        <f>(YEAR('기준정보'!$E$2)-YEAR(C35))*12+MONTH('기준정보'!$E$2)-MONTH(C35)+1</f>
        <v/>
      </c>
      <c r="V35">
        <f>MAX(0,MAX(0,MIN((IF(J35&lt;&gt;"",YEAR(J35)*12+MONTH(J35),YEAR(C35)*12+MONTH(C35))+W35-1),('기준정보'!$E$3*12+12),IF(I35&lt;&gt;"",YEAR(I35)*12+MONTH(I35),9999999))-MAX(IF(J35&lt;&gt;"",YEAR(J35)*12+MONTH(J35),YEAR(C35)*12+MONTH(C35)),('기준정보'!$E$3*12+1))+1)-IF(S35&lt;&gt;"",MAX(0,MIN(MIN((IF(J35&lt;&gt;"",YEAR(J35)*12+MONTH(J35),YEAR(C35)*12+MONTH(C35))+W35-1),('기준정보'!$E$3*12+12),IF(I35&lt;&gt;"",YEAR(I35)*12+MONTH(I35),9999999)),YEAR(T35)*12+MONTH(T35))-MAX(MAX(IF(J35&lt;&gt;"",YEAR(J35)*12+MONTH(J35),YEAR(C35)*12+MONTH(C35)),('기준정보'!$E$3*12+1)),YEAR(S35)*12+MONTH(S35))+1),0))</f>
        <v/>
      </c>
      <c r="W35">
        <f>IF(J35&lt;&gt;"",K35,G35)*12</f>
        <v/>
      </c>
      <c r="X35" s="6" t="n">
        <v>3341321.054415</v>
      </c>
      <c r="Y35" s="6">
        <f>X35-E35</f>
        <v/>
      </c>
      <c r="Z35" s="6" t="n">
        <v>3341321.054415</v>
      </c>
      <c r="AA35" t="inlineStr">
        <is>
          <t>-</t>
        </is>
      </c>
      <c r="AB35" t="inlineStr">
        <is>
          <t>당기중처분(2025-04-30)</t>
        </is>
      </c>
      <c r="AC35" s="6" t="n">
        <v>348611</v>
      </c>
      <c r="AD35" s="6">
        <f>IF(IF(J35&lt;&gt;"",IF(L35&lt;&gt;"",L35,F35),F35)="생산량비례법",(D35-E35)*N35/M35,IF(IF(J35&lt;&gt;"",IF(L35&lt;&gt;"",L35,F35),F35)="정률법",IF(X35-X35*H35*V35/12&lt;=(D35+IF(R35&lt;&gt;"",R35,0))*0.05,Y35,X35*H35*V35/12),IF(IF(J35&lt;&gt;"",IF(L35&lt;&gt;"",L35,F35),F35)="이중체감법",IF(X35-X35*H35*V35/12&lt;=E35,Y35,X35*H35*V35/12),Y35*H35*V35/12)))</f>
        <v/>
      </c>
      <c r="AE35" s="6">
        <f>AD35-AC35</f>
        <v/>
      </c>
      <c r="AF35" s="6" t="n">
        <v>11658678</v>
      </c>
      <c r="AG35" s="6">
        <f>IF(F35="생산량비례법",IF(O35&lt;&gt;"",(D35-E35)*O35/M35,""),(D35+IF(AND(R35&lt;&gt;"",Q35&lt;='기준정보'!$E$4),R35,0))-Z35)</f>
        <v/>
      </c>
      <c r="AH35" s="6">
        <f>AG35-AF35</f>
        <v/>
      </c>
      <c r="AI35" s="6">
        <f>IF(AF35="","",AF35+AC35)</f>
        <v/>
      </c>
      <c r="AJ35" s="6">
        <f>IF(AG35="","",AG35+AD35)</f>
        <v/>
      </c>
      <c r="AK35" s="6">
        <f>AJ35-AI35</f>
        <v/>
      </c>
      <c r="AL35" t="inlineStr">
        <is>
          <t>경미한 차이</t>
        </is>
      </c>
      <c r="AM35" t="inlineStr">
        <is>
          <t>-</t>
        </is>
      </c>
      <c r="AN35" t="inlineStr">
        <is>
          <t>-</t>
        </is>
      </c>
    </row>
    <row r="36">
      <c r="A36" t="inlineStr">
        <is>
          <t>처분_정률_당기중_무형01</t>
        </is>
      </c>
      <c r="B36" t="inlineStr">
        <is>
          <t>무형자산</t>
        </is>
      </c>
      <c r="C36" s="4" t="n">
        <v>44562</v>
      </c>
      <c r="D36" s="6" t="n">
        <v>11000000</v>
      </c>
      <c r="E36" s="6" t="n">
        <v>0</v>
      </c>
      <c r="F36" t="inlineStr">
        <is>
          <t>정률법</t>
        </is>
      </c>
      <c r="G36" t="n">
        <v>6</v>
      </c>
      <c r="H36" s="12">
        <f>IF(IF(J36&lt;&gt;"",IF(L36&lt;&gt;"",L36,F36),F36)="정률법",VLOOKUP(IF(J36&lt;&gt;"",K36,G36),'상각률표(별표4)'!$A$2:$C$60,3,FALSE),IF(IF(J36&lt;&gt;"",IF(L36&lt;&gt;"",L36,F36),F36)="생산량비례법","-",IF(IF(J36&lt;&gt;"",IF(L36&lt;&gt;"",L36,F36),F36)="이중체감법",2/IF(J36&lt;&gt;"",K36,G36),IF(IF(J36&lt;&gt;"",IF(L36&lt;&gt;"",L36,F36),F36)="연수합계법",(IF(J36&lt;&gt;"",K36,G36)-('기준정보'!$E$3-YEAR(IF(J36&lt;&gt;"",J36,C36))+1)+1)/(IF(J36&lt;&gt;"",K36,G36)*(IF(J36&lt;&gt;"",K36,G36)+1)/2),12/W36))))</f>
        <v/>
      </c>
      <c r="I36" s="4" t="n">
        <v>45991</v>
      </c>
      <c r="J36" s="4" t="inlineStr"/>
      <c r="K36" t="inlineStr"/>
      <c r="L36" t="inlineStr"/>
      <c r="M36" s="6" t="inlineStr"/>
      <c r="N36" s="6" t="inlineStr"/>
      <c r="O36" s="6" t="inlineStr"/>
      <c r="P36" s="6">
        <f>IF(OR(O36="",N36=""),"",O36+N36)</f>
        <v/>
      </c>
      <c r="Q36" s="4" t="inlineStr"/>
      <c r="R36" s="6" t="inlineStr"/>
      <c r="S36" s="4" t="inlineStr"/>
      <c r="T36" s="4" t="inlineStr"/>
      <c r="U36">
        <f>(YEAR('기준정보'!$E$2)-YEAR(C36))*12+MONTH('기준정보'!$E$2)-MONTH(C36)+1</f>
        <v/>
      </c>
      <c r="V36">
        <f>MAX(0,MAX(0,MIN((IF(J36&lt;&gt;"",YEAR(J36)*12+MONTH(J36),YEAR(C36)*12+MONTH(C36))+W36-1),('기준정보'!$E$3*12+12),IF(I36&lt;&gt;"",YEAR(I36)*12+MONTH(I36),9999999))-MAX(IF(J36&lt;&gt;"",YEAR(J36)*12+MONTH(J36),YEAR(C36)*12+MONTH(C36)),('기준정보'!$E$3*12+1))+1)-IF(S36&lt;&gt;"",MAX(0,MIN(MIN((IF(J36&lt;&gt;"",YEAR(J36)*12+MONTH(J36),YEAR(C36)*12+MONTH(C36))+W36-1),('기준정보'!$E$3*12+12),IF(I36&lt;&gt;"",YEAR(I36)*12+MONTH(I36),9999999)),YEAR(T36)*12+MONTH(T36))-MAX(MAX(IF(J36&lt;&gt;"",YEAR(J36)*12+MONTH(J36),YEAR(C36)*12+MONTH(C36)),('기준정보'!$E$3*12+1)),YEAR(S36)*12+MONTH(S36))+1),0))</f>
        <v/>
      </c>
      <c r="W36">
        <f>IF(J36&lt;&gt;"",K36,G36)*12</f>
        <v/>
      </c>
      <c r="X36" s="6" t="n">
        <v>2447995.176</v>
      </c>
      <c r="Y36" s="6">
        <f>X36-E36</f>
        <v/>
      </c>
      <c r="Z36" s="6" t="n">
        <v>2447995.176</v>
      </c>
      <c r="AA36" t="inlineStr">
        <is>
          <t>-</t>
        </is>
      </c>
      <c r="AB36" t="inlineStr">
        <is>
          <t>당기중처분(2025-11-30)</t>
        </is>
      </c>
      <c r="AC36" s="6" t="n">
        <v>884134</v>
      </c>
      <c r="AD36" s="6">
        <f>IF(IF(J36&lt;&gt;"",IF(L36&lt;&gt;"",L36,F36),F36)="생산량비례법",(D36-E36)*N36/M36,IF(IF(J36&lt;&gt;"",IF(L36&lt;&gt;"",L36,F36),F36)="정률법",IF(X36-X36*H36*V36/12&lt;=(D36+IF(R36&lt;&gt;"",R36,0))*0.05,Y36,X36*H36*V36/12),IF(IF(J36&lt;&gt;"",IF(L36&lt;&gt;"",L36,F36),F36)="이중체감법",IF(X36-X36*H36*V36/12&lt;=E36,Y36,X36*H36*V36/12),Y36*H36*V36/12)))</f>
        <v/>
      </c>
      <c r="AE36" s="6">
        <f>AD36-AC36</f>
        <v/>
      </c>
      <c r="AF36" s="6" t="n">
        <v>8552005</v>
      </c>
      <c r="AG36" s="6">
        <f>IF(F36="생산량비례법",IF(O36&lt;&gt;"",(D36-E36)*O36/M36,""),(D36+IF(AND(R36&lt;&gt;"",Q36&lt;='기준정보'!$E$4),R36,0))-Z36)</f>
        <v/>
      </c>
      <c r="AH36" s="6">
        <f>AG36-AF36</f>
        <v/>
      </c>
      <c r="AI36" s="6">
        <f>IF(AF36="","",AF36+AC36)</f>
        <v/>
      </c>
      <c r="AJ36" s="6">
        <f>IF(AG36="","",AG36+AD36)</f>
        <v/>
      </c>
      <c r="AK36" s="6">
        <f>AJ36-AI36</f>
        <v/>
      </c>
      <c r="AL36" t="inlineStr">
        <is>
          <t>경미한 차이</t>
        </is>
      </c>
      <c r="AM36" t="inlineStr">
        <is>
          <t>-</t>
        </is>
      </c>
      <c r="AN36" t="inlineStr">
        <is>
          <t>-</t>
        </is>
      </c>
    </row>
    <row r="37">
      <c r="A37" t="inlineStr">
        <is>
          <t>처분_정률_전기이전_유형01</t>
        </is>
      </c>
      <c r="B37" t="inlineStr">
        <is>
          <t>유형자산</t>
        </is>
      </c>
      <c r="C37" s="4" t="n">
        <v>43101</v>
      </c>
      <c r="D37" s="6" t="n">
        <v>13000000</v>
      </c>
      <c r="E37" s="6" t="n">
        <v>0</v>
      </c>
      <c r="F37" t="inlineStr">
        <is>
          <t>정률법</t>
        </is>
      </c>
      <c r="G37" t="n">
        <v>5</v>
      </c>
      <c r="H37" s="12">
        <f>IF(IF(J37&lt;&gt;"",IF(L37&lt;&gt;"",L37,F37),F37)="정률법",VLOOKUP(IF(J37&lt;&gt;"",K37,G37),'상각률표(별표4)'!$A$2:$C$60,3,FALSE),IF(IF(J37&lt;&gt;"",IF(L37&lt;&gt;"",L37,F37),F37)="생산량비례법","-",IF(IF(J37&lt;&gt;"",IF(L37&lt;&gt;"",L37,F37),F37)="이중체감법",2/IF(J37&lt;&gt;"",K37,G37),IF(IF(J37&lt;&gt;"",IF(L37&lt;&gt;"",L37,F37),F37)="연수합계법",(IF(J37&lt;&gt;"",K37,G37)-('기준정보'!$E$3-YEAR(IF(J37&lt;&gt;"",J37,C37))+1)+1)/(IF(J37&lt;&gt;"",K37,G37)*(IF(J37&lt;&gt;"",K37,G37)+1)/2),12/W37))))</f>
        <v/>
      </c>
      <c r="I37" s="4" t="n">
        <v>45291</v>
      </c>
      <c r="J37" s="4" t="inlineStr"/>
      <c r="K37" t="inlineStr"/>
      <c r="L37" t="inlineStr"/>
      <c r="M37" s="6" t="inlineStr"/>
      <c r="N37" s="6" t="inlineStr"/>
      <c r="O37" s="6" t="inlineStr"/>
      <c r="P37" s="6">
        <f>IF(OR(O37="",N37=""),"",O37+N37)</f>
        <v/>
      </c>
      <c r="Q37" s="4" t="inlineStr"/>
      <c r="R37" s="6" t="inlineStr"/>
      <c r="S37" s="4" t="inlineStr"/>
      <c r="T37" s="4" t="inlineStr"/>
      <c r="U37">
        <f>(YEAR('기준정보'!$E$2)-YEAR(C37))*12+MONTH('기준정보'!$E$2)-MONTH(C37)+1</f>
        <v/>
      </c>
      <c r="V37">
        <f>MAX(0,MAX(0,MIN((IF(J37&lt;&gt;"",YEAR(J37)*12+MONTH(J37),YEAR(C37)*12+MONTH(C37))+W37-1),('기준정보'!$E$3*12+12),IF(I37&lt;&gt;"",YEAR(I37)*12+MONTH(I37),9999999))-MAX(IF(J37&lt;&gt;"",YEAR(J37)*12+MONTH(J37),YEAR(C37)*12+MONTH(C37)),('기준정보'!$E$3*12+1))+1)-IF(S37&lt;&gt;"",MAX(0,MIN(MIN((IF(J37&lt;&gt;"",YEAR(J37)*12+MONTH(J37),YEAR(C37)*12+MONTH(C37))+W37-1),('기준정보'!$E$3*12+12),IF(I37&lt;&gt;"",YEAR(I37)*12+MONTH(I37),9999999)),YEAR(T37)*12+MONTH(T37))-MAX(MAX(IF(J37&lt;&gt;"",YEAR(J37)*12+MONTH(J37),YEAR(C37)*12+MONTH(C37)),('기준정보'!$E$3*12+1)),YEAR(S37)*12+MONTH(S37))+1),0))</f>
        <v/>
      </c>
      <c r="W37">
        <f>IF(J37&lt;&gt;"",K37,G37)*12</f>
        <v/>
      </c>
      <c r="X37" s="6" t="n">
        <v>0</v>
      </c>
      <c r="Y37" s="6">
        <f>X37-E37</f>
        <v/>
      </c>
      <c r="Z37" s="6" t="n">
        <v>0</v>
      </c>
      <c r="AA37" t="inlineStr">
        <is>
          <t>종료</t>
        </is>
      </c>
      <c r="AB37" t="inlineStr">
        <is>
          <t>전기이전처분(2023-12-31)</t>
        </is>
      </c>
      <c r="AC37" s="6" t="n">
        <v>0</v>
      </c>
      <c r="AD37" s="6">
        <f>IF(IF(J37&lt;&gt;"",IF(L37&lt;&gt;"",L37,F37),F37)="생산량비례법",(D37-E37)*N37/M37,IF(IF(J37&lt;&gt;"",IF(L37&lt;&gt;"",L37,F37),F37)="정률법",IF(X37-X37*H37*V37/12&lt;=(D37+IF(R37&lt;&gt;"",R37,0))*0.05,Y37,X37*H37*V37/12),IF(IF(J37&lt;&gt;"",IF(L37&lt;&gt;"",L37,F37),F37)="이중체감법",IF(X37-X37*H37*V37/12&lt;=E37,Y37,X37*H37*V37/12),Y37*H37*V37/12)))</f>
        <v/>
      </c>
      <c r="AE37" s="6">
        <f>AD37-AC37</f>
        <v/>
      </c>
      <c r="AF37" s="6" t="n">
        <v>13000000</v>
      </c>
      <c r="AG37" s="6">
        <f>IF(F37="생산량비례법",IF(O37&lt;&gt;"",(D37-E37)*O37/M37,""),(D37+IF(AND(R37&lt;&gt;"",Q37&lt;='기준정보'!$E$4),R37,0))-Z37)</f>
        <v/>
      </c>
      <c r="AH37" s="6">
        <f>AG37-AF37</f>
        <v/>
      </c>
      <c r="AI37" s="6">
        <f>IF(AF37="","",AF37+AC37)</f>
        <v/>
      </c>
      <c r="AJ37" s="6">
        <f>IF(AG37="","",AG37+AD37)</f>
        <v/>
      </c>
      <c r="AK37" s="6">
        <f>AJ37-AI37</f>
        <v/>
      </c>
      <c r="AL37" t="inlineStr">
        <is>
          <t>경미한 차이</t>
        </is>
      </c>
      <c r="AM37" t="inlineStr">
        <is>
          <t>-</t>
        </is>
      </c>
      <c r="AN37" t="inlineStr">
        <is>
          <t>-</t>
        </is>
      </c>
    </row>
    <row r="38">
      <c r="A38" s="13" t="inlineStr">
        <is>
          <t>처분_정액_당기중_유형02</t>
        </is>
      </c>
      <c r="B38" s="13" t="inlineStr">
        <is>
          <t>유형자산</t>
        </is>
      </c>
      <c r="C38" s="14" t="n">
        <v>45107</v>
      </c>
      <c r="D38" s="15" t="n">
        <v>7000000</v>
      </c>
      <c r="E38" s="15" t="n">
        <v>0</v>
      </c>
      <c r="F38" s="13" t="inlineStr">
        <is>
          <t>정액법</t>
        </is>
      </c>
      <c r="G38" s="13" t="n">
        <v>5</v>
      </c>
      <c r="H38" s="16">
        <f>IF(IF(J38&lt;&gt;"",IF(L38&lt;&gt;"",L38,F38),F38)="정률법",VLOOKUP(IF(J38&lt;&gt;"",K38,G38),'상각률표(별표4)'!$A$2:$C$60,3,FALSE),IF(IF(J38&lt;&gt;"",IF(L38&lt;&gt;"",L38,F38),F38)="생산량비례법","-",IF(IF(J38&lt;&gt;"",IF(L38&lt;&gt;"",L38,F38),F38)="이중체감법",2/IF(J38&lt;&gt;"",K38,G38),IF(IF(J38&lt;&gt;"",IF(L38&lt;&gt;"",L38,F38),F38)="연수합계법",(IF(J38&lt;&gt;"",K38,G38)-('기준정보'!$E$3-YEAR(IF(J38&lt;&gt;"",J38,C38))+1)+1)/(IF(J38&lt;&gt;"",K38,G38)*(IF(J38&lt;&gt;"",K38,G38)+1)/2),12/W38))))</f>
        <v/>
      </c>
      <c r="I38" s="14" t="n">
        <v>45688</v>
      </c>
      <c r="J38" s="14" t="inlineStr"/>
      <c r="K38" s="13" t="inlineStr"/>
      <c r="L38" s="13" t="inlineStr"/>
      <c r="M38" s="15" t="inlineStr"/>
      <c r="N38" s="15" t="inlineStr"/>
      <c r="O38" s="15" t="inlineStr"/>
      <c r="P38" s="15">
        <f>IF(OR(O38="",N38=""),"",O38+N38)</f>
        <v/>
      </c>
      <c r="Q38" s="14" t="inlineStr"/>
      <c r="R38" s="15" t="inlineStr"/>
      <c r="S38" s="14" t="inlineStr"/>
      <c r="T38" s="14" t="inlineStr"/>
      <c r="U38" s="13">
        <f>(YEAR('기준정보'!$E$2)-YEAR(C38))*12+MONTH('기준정보'!$E$2)-MONTH(C38)+1</f>
        <v/>
      </c>
      <c r="V38" s="13">
        <f>MAX(0,MAX(0,MIN((IF(J38&lt;&gt;"",YEAR(J38)*12+MONTH(J38),YEAR(C38)*12+MONTH(C38))+W38-1),('기준정보'!$E$3*12+12),IF(I38&lt;&gt;"",YEAR(I38)*12+MONTH(I38),9999999))-MAX(IF(J38&lt;&gt;"",YEAR(J38)*12+MONTH(J38),YEAR(C38)*12+MONTH(C38)),('기준정보'!$E$3*12+1))+1)-IF(S38&lt;&gt;"",MAX(0,MIN(MIN((IF(J38&lt;&gt;"",YEAR(J38)*12+MONTH(J38),YEAR(C38)*12+MONTH(C38))+W38-1),('기준정보'!$E$3*12+12),IF(I38&lt;&gt;"",YEAR(I38)*12+MONTH(I38),9999999)),YEAR(T38)*12+MONTH(T38))-MAX(MAX(IF(J38&lt;&gt;"",YEAR(J38)*12+MONTH(J38),YEAR(C38)*12+MONTH(C38)),('기준정보'!$E$3*12+1)),YEAR(S38)*12+MONTH(S38))+1),0))</f>
        <v/>
      </c>
      <c r="W38" s="13">
        <f>IF(J38&lt;&gt;"",K38,G38)*12</f>
        <v/>
      </c>
      <c r="X38" s="15" t="n">
        <v>7000000</v>
      </c>
      <c r="Y38" s="15">
        <f>X38-E38</f>
        <v/>
      </c>
      <c r="Z38" s="15" t="n">
        <v>4783333.333333333</v>
      </c>
      <c r="AA38" s="13" t="inlineStr">
        <is>
          <t>-</t>
        </is>
      </c>
      <c r="AB38" s="13" t="inlineStr">
        <is>
          <t>당기중처분(2025-01-31)</t>
        </is>
      </c>
      <c r="AC38" s="15" t="n">
        <v>416667</v>
      </c>
      <c r="AD38" s="15">
        <f>IF(IF(J38&lt;&gt;"",IF(L38&lt;&gt;"",L38,F38),F38)="생산량비례법",(D38-E38)*N38/M38,IF(IF(J38&lt;&gt;"",IF(L38&lt;&gt;"",L38,F38),F38)="정률법",IF(X38-X38*H38*V38/12&lt;=(D38+IF(R38&lt;&gt;"",R38,0))*0.05,Y38,X38*H38*V38/12),IF(IF(J38&lt;&gt;"",IF(L38&lt;&gt;"",L38,F38),F38)="이중체감법",IF(X38-X38*H38*V38/12&lt;=E38,Y38,X38*H38*V38/12),Y38*H38*V38/12)))</f>
        <v/>
      </c>
      <c r="AE38" s="15">
        <f>AD38-AC38</f>
        <v/>
      </c>
      <c r="AF38" s="15" t="n">
        <v>2216667</v>
      </c>
      <c r="AG38" s="15">
        <f>IF(F38="생산량비례법",IF(O38&lt;&gt;"",(D38-E38)*O38/M38,""),(D38+IF(AND(R38&lt;&gt;"",Q38&lt;='기준정보'!$E$4),R38,0))-Z38)</f>
        <v/>
      </c>
      <c r="AH38" s="15">
        <f>AG38-AF38</f>
        <v/>
      </c>
      <c r="AI38" s="15">
        <f>IF(AF38="","",AF38+AC38)</f>
        <v/>
      </c>
      <c r="AJ38" s="15">
        <f>IF(AG38="","",AG38+AD38)</f>
        <v/>
      </c>
      <c r="AK38" s="15">
        <f>AJ38-AI38</f>
        <v/>
      </c>
      <c r="AL38" s="13" t="inlineStr">
        <is>
          <t>경미한 차이</t>
        </is>
      </c>
      <c r="AM38" s="13" t="inlineStr">
        <is>
          <t>처분일 반영 오류 추정(처분일까지의 월할상각 미반영 가능성)</t>
        </is>
      </c>
      <c r="AN38" s="13" t="inlineStr">
        <is>
          <t>규칙</t>
        </is>
      </c>
    </row>
    <row r="39">
      <c r="A39" t="inlineStr">
        <is>
          <t>처분_정률_당기중_유형02</t>
        </is>
      </c>
      <c r="B39" t="inlineStr">
        <is>
          <t>유형자산</t>
        </is>
      </c>
      <c r="C39" s="4" t="n">
        <v>43831</v>
      </c>
      <c r="D39" s="6" t="n">
        <v>16000000</v>
      </c>
      <c r="E39" s="6" t="n">
        <v>0</v>
      </c>
      <c r="F39" t="inlineStr">
        <is>
          <t>정률법</t>
        </is>
      </c>
      <c r="G39" t="n">
        <v>10</v>
      </c>
      <c r="H39" s="12">
        <f>IF(IF(J39&lt;&gt;"",IF(L39&lt;&gt;"",L39,F39),F39)="정률법",VLOOKUP(IF(J39&lt;&gt;"",K39,G39),'상각률표(별표4)'!$A$2:$C$60,3,FALSE),IF(IF(J39&lt;&gt;"",IF(L39&lt;&gt;"",L39,F39),F39)="생산량비례법","-",IF(IF(J39&lt;&gt;"",IF(L39&lt;&gt;"",L39,F39),F39)="이중체감법",2/IF(J39&lt;&gt;"",K39,G39),IF(IF(J39&lt;&gt;"",IF(L39&lt;&gt;"",L39,F39),F39)="연수합계법",(IF(J39&lt;&gt;"",K39,G39)-('기준정보'!$E$3-YEAR(IF(J39&lt;&gt;"",J39,C39))+1)+1)/(IF(J39&lt;&gt;"",K39,G39)*(IF(J39&lt;&gt;"",K39,G39)+1)/2),12/W39))))</f>
        <v/>
      </c>
      <c r="I39" s="4" t="n">
        <v>45884</v>
      </c>
      <c r="J39" s="4" t="inlineStr"/>
      <c r="K39" t="inlineStr"/>
      <c r="L39" t="inlineStr"/>
      <c r="M39" s="6" t="inlineStr"/>
      <c r="N39" s="6" t="inlineStr"/>
      <c r="O39" s="6" t="inlineStr"/>
      <c r="P39" s="6">
        <f>IF(OR(O39="",N39=""),"",O39+N39)</f>
        <v/>
      </c>
      <c r="Q39" s="4" t="inlineStr"/>
      <c r="R39" s="6" t="inlineStr"/>
      <c r="S39" s="4" t="inlineStr"/>
      <c r="T39" s="4" t="inlineStr"/>
      <c r="U39">
        <f>(YEAR('기준정보'!$E$2)-YEAR(C39))*12+MONTH('기준정보'!$E$2)-MONTH(C39)+1</f>
        <v/>
      </c>
      <c r="V39">
        <f>MAX(0,MAX(0,MIN((IF(J39&lt;&gt;"",YEAR(J39)*12+MONTH(J39),YEAR(C39)*12+MONTH(C39))+W39-1),('기준정보'!$E$3*12+12),IF(I39&lt;&gt;"",YEAR(I39)*12+MONTH(I39),9999999))-MAX(IF(J39&lt;&gt;"",YEAR(J39)*12+MONTH(J39),YEAR(C39)*12+MONTH(C39)),('기준정보'!$E$3*12+1))+1)-IF(S39&lt;&gt;"",MAX(0,MIN(MIN((IF(J39&lt;&gt;"",YEAR(J39)*12+MONTH(J39),YEAR(C39)*12+MONTH(C39))+W39-1),('기준정보'!$E$3*12+12),IF(I39&lt;&gt;"",YEAR(I39)*12+MONTH(I39),9999999)),YEAR(T39)*12+MONTH(T39))-MAX(MAX(IF(J39&lt;&gt;"",YEAR(J39)*12+MONTH(J39),YEAR(C39)*12+MONTH(C39)),('기준정보'!$E$3*12+1)),YEAR(S39)*12+MONTH(S39))+1),0))</f>
        <v/>
      </c>
      <c r="W39">
        <f>IF(J39&lt;&gt;"",K39,G39)*12</f>
        <v/>
      </c>
      <c r="X39" s="6" t="n">
        <v>3574464.782715216</v>
      </c>
      <c r="Y39" s="6">
        <f>X39-E39</f>
        <v/>
      </c>
      <c r="Z39" s="6" t="n">
        <v>3574464.782715216</v>
      </c>
      <c r="AA39" t="inlineStr">
        <is>
          <t>-</t>
        </is>
      </c>
      <c r="AB39" t="inlineStr">
        <is>
          <t>당기중처분(2025-08-15)</t>
        </is>
      </c>
      <c r="AC39" s="6" t="n">
        <v>617191</v>
      </c>
      <c r="AD39" s="6">
        <f>IF(IF(J39&lt;&gt;"",IF(L39&lt;&gt;"",L39,F39),F39)="생산량비례법",(D39-E39)*N39/M39,IF(IF(J39&lt;&gt;"",IF(L39&lt;&gt;"",L39,F39),F39)="정률법",IF(X39-X39*H39*V39/12&lt;=(D39+IF(R39&lt;&gt;"",R39,0))*0.05,Y39,X39*H39*V39/12),IF(IF(J39&lt;&gt;"",IF(L39&lt;&gt;"",L39,F39),F39)="이중체감법",IF(X39-X39*H39*V39/12&lt;=E39,Y39,X39*H39*V39/12),Y39*H39*V39/12)))</f>
        <v/>
      </c>
      <c r="AE39" s="6">
        <f>AD39-AC39</f>
        <v/>
      </c>
      <c r="AF39" s="6" t="n">
        <v>12425535</v>
      </c>
      <c r="AG39" s="6">
        <f>IF(F39="생산량비례법",IF(O39&lt;&gt;"",(D39-E39)*O39/M39,""),(D39+IF(AND(R39&lt;&gt;"",Q39&lt;='기준정보'!$E$4),R39,0))-Z39)</f>
        <v/>
      </c>
      <c r="AH39" s="6">
        <f>AG39-AF39</f>
        <v/>
      </c>
      <c r="AI39" s="6">
        <f>IF(AF39="","",AF39+AC39)</f>
        <v/>
      </c>
      <c r="AJ39" s="6">
        <f>IF(AG39="","",AG39+AD39)</f>
        <v/>
      </c>
      <c r="AK39" s="6">
        <f>AJ39-AI39</f>
        <v/>
      </c>
      <c r="AL39" t="inlineStr">
        <is>
          <t>경미한 차이</t>
        </is>
      </c>
      <c r="AM39" t="inlineStr">
        <is>
          <t>-</t>
        </is>
      </c>
      <c r="AN39" t="inlineStr">
        <is>
          <t>-</t>
        </is>
      </c>
    </row>
    <row r="40">
      <c r="A40" t="inlineStr">
        <is>
          <t>처분_정액_전기이전_무형01</t>
        </is>
      </c>
      <c r="B40" t="inlineStr">
        <is>
          <t>무형자산</t>
        </is>
      </c>
      <c r="C40" s="4" t="n">
        <v>43101</v>
      </c>
      <c r="D40" s="6" t="n">
        <v>6000000</v>
      </c>
      <c r="E40" s="6" t="n">
        <v>0</v>
      </c>
      <c r="F40" t="inlineStr">
        <is>
          <t>정액법</t>
        </is>
      </c>
      <c r="G40" t="n">
        <v>4</v>
      </c>
      <c r="H40" s="12">
        <f>IF(IF(J40&lt;&gt;"",IF(L40&lt;&gt;"",L40,F40),F40)="정률법",VLOOKUP(IF(J40&lt;&gt;"",K40,G40),'상각률표(별표4)'!$A$2:$C$60,3,FALSE),IF(IF(J40&lt;&gt;"",IF(L40&lt;&gt;"",L40,F40),F40)="생산량비례법","-",IF(IF(J40&lt;&gt;"",IF(L40&lt;&gt;"",L40,F40),F40)="이중체감법",2/IF(J40&lt;&gt;"",K40,G40),IF(IF(J40&lt;&gt;"",IF(L40&lt;&gt;"",L40,F40),F40)="연수합계법",(IF(J40&lt;&gt;"",K40,G40)-('기준정보'!$E$3-YEAR(IF(J40&lt;&gt;"",J40,C40))+1)+1)/(IF(J40&lt;&gt;"",K40,G40)*(IF(J40&lt;&gt;"",K40,G40)+1)/2),12/W40))))</f>
        <v/>
      </c>
      <c r="I40" s="4" t="n">
        <v>44926</v>
      </c>
      <c r="J40" s="4" t="inlineStr"/>
      <c r="K40" t="inlineStr"/>
      <c r="L40" t="inlineStr"/>
      <c r="M40" s="6" t="inlineStr"/>
      <c r="N40" s="6" t="inlineStr"/>
      <c r="O40" s="6" t="inlineStr"/>
      <c r="P40" s="6">
        <f>IF(OR(O40="",N40=""),"",O40+N40)</f>
        <v/>
      </c>
      <c r="Q40" s="4" t="inlineStr"/>
      <c r="R40" s="6" t="inlineStr"/>
      <c r="S40" s="4" t="inlineStr"/>
      <c r="T40" s="4" t="inlineStr"/>
      <c r="U40">
        <f>(YEAR('기준정보'!$E$2)-YEAR(C40))*12+MONTH('기준정보'!$E$2)-MONTH(C40)+1</f>
        <v/>
      </c>
      <c r="V40">
        <f>MAX(0,MAX(0,MIN((IF(J40&lt;&gt;"",YEAR(J40)*12+MONTH(J40),YEAR(C40)*12+MONTH(C40))+W40-1),('기준정보'!$E$3*12+12),IF(I40&lt;&gt;"",YEAR(I40)*12+MONTH(I40),9999999))-MAX(IF(J40&lt;&gt;"",YEAR(J40)*12+MONTH(J40),YEAR(C40)*12+MONTH(C40)),('기준정보'!$E$3*12+1))+1)-IF(S40&lt;&gt;"",MAX(0,MIN(MIN((IF(J40&lt;&gt;"",YEAR(J40)*12+MONTH(J40),YEAR(C40)*12+MONTH(C40))+W40-1),('기준정보'!$E$3*12+12),IF(I40&lt;&gt;"",YEAR(I40)*12+MONTH(I40),9999999)),YEAR(T40)*12+MONTH(T40))-MAX(MAX(IF(J40&lt;&gt;"",YEAR(J40)*12+MONTH(J40),YEAR(C40)*12+MONTH(C40)),('기준정보'!$E$3*12+1)),YEAR(S40)*12+MONTH(S40))+1),0))</f>
        <v/>
      </c>
      <c r="W40">
        <f>IF(J40&lt;&gt;"",K40,G40)*12</f>
        <v/>
      </c>
      <c r="X40" s="6" t="n">
        <v>6000000</v>
      </c>
      <c r="Y40" s="6">
        <f>X40-E40</f>
        <v/>
      </c>
      <c r="Z40" s="6" t="n">
        <v>0</v>
      </c>
      <c r="AA40" t="inlineStr">
        <is>
          <t>종료</t>
        </is>
      </c>
      <c r="AB40" t="inlineStr">
        <is>
          <t>전기이전처분(2022-12-31)</t>
        </is>
      </c>
      <c r="AC40" s="6" t="n">
        <v>0</v>
      </c>
      <c r="AD40" s="6">
        <f>IF(IF(J40&lt;&gt;"",IF(L40&lt;&gt;"",L40,F40),F40)="생산량비례법",(D40-E40)*N40/M40,IF(IF(J40&lt;&gt;"",IF(L40&lt;&gt;"",L40,F40),F40)="정률법",IF(X40-X40*H40*V40/12&lt;=(D40+IF(R40&lt;&gt;"",R40,0))*0.05,Y40,X40*H40*V40/12),IF(IF(J40&lt;&gt;"",IF(L40&lt;&gt;"",L40,F40),F40)="이중체감법",IF(X40-X40*H40*V40/12&lt;=E40,Y40,X40*H40*V40/12),Y40*H40*V40/12)))</f>
        <v/>
      </c>
      <c r="AE40" s="6">
        <f>AD40-AC40</f>
        <v/>
      </c>
      <c r="AF40" s="6" t="n">
        <v>6000000</v>
      </c>
      <c r="AG40" s="6">
        <f>IF(F40="생산량비례법",IF(O40&lt;&gt;"",(D40-E40)*O40/M40,""),(D40+IF(AND(R40&lt;&gt;"",Q40&lt;='기준정보'!$E$4),R40,0))-Z40)</f>
        <v/>
      </c>
      <c r="AH40" s="6">
        <f>AG40-AF40</f>
        <v/>
      </c>
      <c r="AI40" s="6">
        <f>IF(AF40="","",AF40+AC40)</f>
        <v/>
      </c>
      <c r="AJ40" s="6">
        <f>IF(AG40="","",AG40+AD40)</f>
        <v/>
      </c>
      <c r="AK40" s="6">
        <f>AJ40-AI40</f>
        <v/>
      </c>
      <c r="AL40" t="inlineStr">
        <is>
          <t>경미한 차이</t>
        </is>
      </c>
      <c r="AM40" t="inlineStr">
        <is>
          <t>-</t>
        </is>
      </c>
      <c r="AN40" t="inlineStr">
        <is>
          <t>-</t>
        </is>
      </c>
    </row>
    <row r="41">
      <c r="A41" t="inlineStr">
        <is>
          <t>처분_정률_전기이전_무형01</t>
        </is>
      </c>
      <c r="B41" t="inlineStr">
        <is>
          <t>무형자산</t>
        </is>
      </c>
      <c r="C41" s="4" t="n">
        <v>42736</v>
      </c>
      <c r="D41" s="6" t="n">
        <v>10000000</v>
      </c>
      <c r="E41" s="6" t="n">
        <v>0</v>
      </c>
      <c r="F41" t="inlineStr">
        <is>
          <t>정률법</t>
        </is>
      </c>
      <c r="G41" t="n">
        <v>6</v>
      </c>
      <c r="H41" s="12">
        <f>IF(IF(J41&lt;&gt;"",IF(L41&lt;&gt;"",L41,F41),F41)="정률법",VLOOKUP(IF(J41&lt;&gt;"",K41,G41),'상각률표(별표4)'!$A$2:$C$60,3,FALSE),IF(IF(J41&lt;&gt;"",IF(L41&lt;&gt;"",L41,F41),F41)="생산량비례법","-",IF(IF(J41&lt;&gt;"",IF(L41&lt;&gt;"",L41,F41),F41)="이중체감법",2/IF(J41&lt;&gt;"",K41,G41),IF(IF(J41&lt;&gt;"",IF(L41&lt;&gt;"",L41,F41),F41)="연수합계법",(IF(J41&lt;&gt;"",K41,G41)-('기준정보'!$E$3-YEAR(IF(J41&lt;&gt;"",J41,C41))+1)+1)/(IF(J41&lt;&gt;"",K41,G41)*(IF(J41&lt;&gt;"",K41,G41)+1)/2),12/W41))))</f>
        <v/>
      </c>
      <c r="I41" s="4" t="n">
        <v>45107</v>
      </c>
      <c r="J41" s="4" t="inlineStr"/>
      <c r="K41" t="inlineStr"/>
      <c r="L41" t="inlineStr"/>
      <c r="M41" s="6" t="inlineStr"/>
      <c r="N41" s="6" t="inlineStr"/>
      <c r="O41" s="6" t="inlineStr"/>
      <c r="P41" s="6">
        <f>IF(OR(O41="",N41=""),"",O41+N41)</f>
        <v/>
      </c>
      <c r="Q41" s="4" t="inlineStr"/>
      <c r="R41" s="6" t="inlineStr"/>
      <c r="S41" s="4" t="inlineStr"/>
      <c r="T41" s="4" t="inlineStr"/>
      <c r="U41">
        <f>(YEAR('기준정보'!$E$2)-YEAR(C41))*12+MONTH('기준정보'!$E$2)-MONTH(C41)+1</f>
        <v/>
      </c>
      <c r="V41">
        <f>MAX(0,MAX(0,MIN((IF(J41&lt;&gt;"",YEAR(J41)*12+MONTH(J41),YEAR(C41)*12+MONTH(C41))+W41-1),('기준정보'!$E$3*12+12),IF(I41&lt;&gt;"",YEAR(I41)*12+MONTH(I41),9999999))-MAX(IF(J41&lt;&gt;"",YEAR(J41)*12+MONTH(J41),YEAR(C41)*12+MONTH(C41)),('기준정보'!$E$3*12+1))+1)-IF(S41&lt;&gt;"",MAX(0,MIN(MIN((IF(J41&lt;&gt;"",YEAR(J41)*12+MONTH(J41),YEAR(C41)*12+MONTH(C41))+W41-1),('기준정보'!$E$3*12+12),IF(I41&lt;&gt;"",YEAR(I41)*12+MONTH(I41),9999999)),YEAR(T41)*12+MONTH(T41))-MAX(MAX(IF(J41&lt;&gt;"",YEAR(J41)*12+MONTH(J41),YEAR(C41)*12+MONTH(C41)),('기준정보'!$E$3*12+1)),YEAR(S41)*12+MONTH(S41))+1),0))</f>
        <v/>
      </c>
      <c r="W41">
        <f>IF(J41&lt;&gt;"",K41,G41)*12</f>
        <v/>
      </c>
      <c r="X41" s="6" t="n">
        <v>0</v>
      </c>
      <c r="Y41" s="6">
        <f>X41-E41</f>
        <v/>
      </c>
      <c r="Z41" s="6" t="n">
        <v>0</v>
      </c>
      <c r="AA41" t="inlineStr">
        <is>
          <t>종료</t>
        </is>
      </c>
      <c r="AB41" t="inlineStr">
        <is>
          <t>전기이전처분(2023-06-30)</t>
        </is>
      </c>
      <c r="AC41" s="6" t="n">
        <v>0</v>
      </c>
      <c r="AD41" s="6">
        <f>IF(IF(J41&lt;&gt;"",IF(L41&lt;&gt;"",L41,F41),F41)="생산량비례법",(D41-E41)*N41/M41,IF(IF(J41&lt;&gt;"",IF(L41&lt;&gt;"",L41,F41),F41)="정률법",IF(X41-X41*H41*V41/12&lt;=(D41+IF(R41&lt;&gt;"",R41,0))*0.05,Y41,X41*H41*V41/12),IF(IF(J41&lt;&gt;"",IF(L41&lt;&gt;"",L41,F41),F41)="이중체감법",IF(X41-X41*H41*V41/12&lt;=E41,Y41,X41*H41*V41/12),Y41*H41*V41/12)))</f>
        <v/>
      </c>
      <c r="AE41" s="6">
        <f>AD41-AC41</f>
        <v/>
      </c>
      <c r="AF41" s="6" t="n">
        <v>9999999</v>
      </c>
      <c r="AG41" s="6">
        <f>IF(F41="생산량비례법",IF(O41&lt;&gt;"",(D41-E41)*O41/M41,""),(D41+IF(AND(R41&lt;&gt;"",Q41&lt;='기준정보'!$E$4),R41,0))-Z41)</f>
        <v/>
      </c>
      <c r="AH41" s="6">
        <f>AG41-AF41</f>
        <v/>
      </c>
      <c r="AI41" s="6">
        <f>IF(AF41="","",AF41+AC41)</f>
        <v/>
      </c>
      <c r="AJ41" s="6">
        <f>IF(AG41="","",AG41+AD41)</f>
        <v/>
      </c>
      <c r="AK41" s="6">
        <f>AJ41-AI41</f>
        <v/>
      </c>
      <c r="AL41" t="inlineStr">
        <is>
          <t>경미한 차이</t>
        </is>
      </c>
      <c r="AM41" t="inlineStr">
        <is>
          <t>-</t>
        </is>
      </c>
      <c r="AN41" t="inlineStr">
        <is>
          <t>-</t>
        </is>
      </c>
    </row>
    <row r="42">
      <c r="A42" t="inlineStr">
        <is>
          <t>재추정_정액_유형01</t>
        </is>
      </c>
      <c r="B42" t="inlineStr">
        <is>
          <t>유형자산</t>
        </is>
      </c>
      <c r="C42" s="4" t="n">
        <v>44197</v>
      </c>
      <c r="D42" s="6" t="n">
        <v>12000000</v>
      </c>
      <c r="E42" s="6" t="n">
        <v>0</v>
      </c>
      <c r="F42" t="inlineStr">
        <is>
          <t>정액법</t>
        </is>
      </c>
      <c r="G42" t="n">
        <v>5</v>
      </c>
      <c r="H42" s="12">
        <f>IF(IF(J42&lt;&gt;"",IF(L42&lt;&gt;"",L42,F42),F42)="정률법",VLOOKUP(IF(J42&lt;&gt;"",K42,G42),'상각률표(별표4)'!$A$2:$C$60,3,FALSE),IF(IF(J42&lt;&gt;"",IF(L42&lt;&gt;"",L42,F42),F42)="생산량비례법","-",IF(IF(J42&lt;&gt;"",IF(L42&lt;&gt;"",L42,F42),F42)="이중체감법",2/IF(J42&lt;&gt;"",K42,G42),IF(IF(J42&lt;&gt;"",IF(L42&lt;&gt;"",L42,F42),F42)="연수합계법",(IF(J42&lt;&gt;"",K42,G42)-('기준정보'!$E$3-YEAR(IF(J42&lt;&gt;"",J42,C42))+1)+1)/(IF(J42&lt;&gt;"",K42,G42)*(IF(J42&lt;&gt;"",K42,G42)+1)/2),12/W42))))</f>
        <v/>
      </c>
      <c r="I42" s="4" t="inlineStr"/>
      <c r="J42" s="4" t="n">
        <v>45292</v>
      </c>
      <c r="K42" t="n">
        <v>8</v>
      </c>
      <c r="L42" t="inlineStr"/>
      <c r="M42" s="6" t="inlineStr"/>
      <c r="N42" s="6" t="inlineStr"/>
      <c r="O42" s="6" t="inlineStr"/>
      <c r="P42" s="6">
        <f>IF(OR(O42="",N42=""),"",O42+N42)</f>
        <v/>
      </c>
      <c r="Q42" s="4" t="inlineStr"/>
      <c r="R42" s="6" t="inlineStr"/>
      <c r="S42" s="4" t="inlineStr"/>
      <c r="T42" s="4" t="inlineStr"/>
      <c r="U42">
        <f>(YEAR('기준정보'!$E$2)-YEAR(C42))*12+MONTH('기준정보'!$E$2)-MONTH(C42)+1</f>
        <v/>
      </c>
      <c r="V42">
        <f>MAX(0,MAX(0,MIN((IF(J42&lt;&gt;"",YEAR(J42)*12+MONTH(J42),YEAR(C42)*12+MONTH(C42))+W42-1),('기준정보'!$E$3*12+12),IF(I42&lt;&gt;"",YEAR(I42)*12+MONTH(I42),9999999))-MAX(IF(J42&lt;&gt;"",YEAR(J42)*12+MONTH(J42),YEAR(C42)*12+MONTH(C42)),('기준정보'!$E$3*12+1))+1)-IF(S42&lt;&gt;"",MAX(0,MIN(MIN((IF(J42&lt;&gt;"",YEAR(J42)*12+MONTH(J42),YEAR(C42)*12+MONTH(C42))+W42-1),('기준정보'!$E$3*12+12),IF(I42&lt;&gt;"",YEAR(I42)*12+MONTH(I42),9999999)),YEAR(T42)*12+MONTH(T42))-MAX(MAX(IF(J42&lt;&gt;"",YEAR(J42)*12+MONTH(J42),YEAR(C42)*12+MONTH(C42)),('기준정보'!$E$3*12+1)),YEAR(S42)*12+MONTH(S42))+1),0))</f>
        <v/>
      </c>
      <c r="W42">
        <f>IF(J42&lt;&gt;"",K42,G42)*12</f>
        <v/>
      </c>
      <c r="X42" s="6" t="n">
        <v>4800000</v>
      </c>
      <c r="Y42" s="6">
        <f>X42-E42</f>
        <v/>
      </c>
      <c r="Z42" s="6" t="n">
        <v>4200000</v>
      </c>
      <c r="AA42" t="inlineStr">
        <is>
          <t>-</t>
        </is>
      </c>
      <c r="AB42" t="inlineStr">
        <is>
          <t>내용연수재추정(2024-01-01→8년)</t>
        </is>
      </c>
      <c r="AC42" s="6" t="n">
        <v>600000</v>
      </c>
      <c r="AD42" s="6">
        <f>IF(IF(J42&lt;&gt;"",IF(L42&lt;&gt;"",L42,F42),F42)="생산량비례법",(D42-E42)*N42/M42,IF(IF(J42&lt;&gt;"",IF(L42&lt;&gt;"",L42,F42),F42)="정률법",IF(X42-X42*H42*V42/12&lt;=(D42+IF(R42&lt;&gt;"",R42,0))*0.05,Y42,X42*H42*V42/12),IF(IF(J42&lt;&gt;"",IF(L42&lt;&gt;"",L42,F42),F42)="이중체감법",IF(X42-X42*H42*V42/12&lt;=E42,Y42,X42*H42*V42/12),Y42*H42*V42/12)))</f>
        <v/>
      </c>
      <c r="AE42" s="6">
        <f>AD42-AC42</f>
        <v/>
      </c>
      <c r="AF42" s="6" t="n">
        <v>8600000</v>
      </c>
      <c r="AG42" s="6">
        <f>IF(F42="생산량비례법",IF(O42&lt;&gt;"",(D42-E42)*O42/M42,""),(D42+IF(AND(R42&lt;&gt;"",Q42&lt;='기준정보'!$E$4),R42,0))-Z42)</f>
        <v/>
      </c>
      <c r="AH42" s="6">
        <f>AG42-AF42</f>
        <v/>
      </c>
      <c r="AI42" s="6">
        <f>IF(AF42="","",AF42+AC42)</f>
        <v/>
      </c>
      <c r="AJ42" s="6">
        <f>IF(AG42="","",AG42+AD42)</f>
        <v/>
      </c>
      <c r="AK42" s="6">
        <f>AJ42-AI42</f>
        <v/>
      </c>
      <c r="AL42" t="inlineStr">
        <is>
          <t>경미한 차이</t>
        </is>
      </c>
      <c r="AM42" t="inlineStr">
        <is>
          <t>-</t>
        </is>
      </c>
      <c r="AN42" t="inlineStr">
        <is>
          <t>-</t>
        </is>
      </c>
    </row>
    <row r="43">
      <c r="A43" t="inlineStr">
        <is>
          <t>재추정_정액_무형01</t>
        </is>
      </c>
      <c r="B43" t="inlineStr">
        <is>
          <t>무형자산</t>
        </is>
      </c>
      <c r="C43" s="4" t="n">
        <v>44562</v>
      </c>
      <c r="D43" s="6" t="n">
        <v>9000000</v>
      </c>
      <c r="E43" s="6" t="n">
        <v>0</v>
      </c>
      <c r="F43" t="inlineStr">
        <is>
          <t>정액법</t>
        </is>
      </c>
      <c r="G43" t="n">
        <v>4</v>
      </c>
      <c r="H43" s="12">
        <f>IF(IF(J43&lt;&gt;"",IF(L43&lt;&gt;"",L43,F43),F43)="정률법",VLOOKUP(IF(J43&lt;&gt;"",K43,G43),'상각률표(별표4)'!$A$2:$C$60,3,FALSE),IF(IF(J43&lt;&gt;"",IF(L43&lt;&gt;"",L43,F43),F43)="생산량비례법","-",IF(IF(J43&lt;&gt;"",IF(L43&lt;&gt;"",L43,F43),F43)="이중체감법",2/IF(J43&lt;&gt;"",K43,G43),IF(IF(J43&lt;&gt;"",IF(L43&lt;&gt;"",L43,F43),F43)="연수합계법",(IF(J43&lt;&gt;"",K43,G43)-('기준정보'!$E$3-YEAR(IF(J43&lt;&gt;"",J43,C43))+1)+1)/(IF(J43&lt;&gt;"",K43,G43)*(IF(J43&lt;&gt;"",K43,G43)+1)/2),12/W43))))</f>
        <v/>
      </c>
      <c r="I43" s="4" t="inlineStr"/>
      <c r="J43" s="4" t="n">
        <v>45474</v>
      </c>
      <c r="K43" t="n">
        <v>6</v>
      </c>
      <c r="L43" t="inlineStr"/>
      <c r="M43" s="6" t="inlineStr"/>
      <c r="N43" s="6" t="inlineStr"/>
      <c r="O43" s="6" t="inlineStr"/>
      <c r="P43" s="6">
        <f>IF(OR(O43="",N43=""),"",O43+N43)</f>
        <v/>
      </c>
      <c r="Q43" s="4" t="inlineStr"/>
      <c r="R43" s="6" t="inlineStr"/>
      <c r="S43" s="4" t="inlineStr"/>
      <c r="T43" s="4" t="inlineStr"/>
      <c r="U43">
        <f>(YEAR('기준정보'!$E$2)-YEAR(C43))*12+MONTH('기준정보'!$E$2)-MONTH(C43)+1</f>
        <v/>
      </c>
      <c r="V43">
        <f>MAX(0,MAX(0,MIN((IF(J43&lt;&gt;"",YEAR(J43)*12+MONTH(J43),YEAR(C43)*12+MONTH(C43))+W43-1),('기준정보'!$E$3*12+12),IF(I43&lt;&gt;"",YEAR(I43)*12+MONTH(I43),9999999))-MAX(IF(J43&lt;&gt;"",YEAR(J43)*12+MONTH(J43),YEAR(C43)*12+MONTH(C43)),('기준정보'!$E$3*12+1))+1)-IF(S43&lt;&gt;"",MAX(0,MIN(MIN((IF(J43&lt;&gt;"",YEAR(J43)*12+MONTH(J43),YEAR(C43)*12+MONTH(C43))+W43-1),('기준정보'!$E$3*12+12),IF(I43&lt;&gt;"",YEAR(I43)*12+MONTH(I43),9999999)),YEAR(T43)*12+MONTH(T43))-MAX(MAX(IF(J43&lt;&gt;"",YEAR(J43)*12+MONTH(J43),YEAR(C43)*12+MONTH(C43)),('기준정보'!$E$3*12+1)),YEAR(S43)*12+MONTH(S43))+1),0))</f>
        <v/>
      </c>
      <c r="W43">
        <f>IF(J43&lt;&gt;"",K43,G43)*12</f>
        <v/>
      </c>
      <c r="X43" s="6" t="n">
        <v>3375000</v>
      </c>
      <c r="Y43" s="6">
        <f>X43-E43</f>
        <v/>
      </c>
      <c r="Z43" s="6" t="n">
        <v>3093750</v>
      </c>
      <c r="AA43" t="inlineStr">
        <is>
          <t>-</t>
        </is>
      </c>
      <c r="AB43" t="inlineStr">
        <is>
          <t>내용연수재추정(2024-07-01→6년)</t>
        </is>
      </c>
      <c r="AC43" s="6" t="n">
        <v>562500</v>
      </c>
      <c r="AD43" s="6">
        <f>IF(IF(J43&lt;&gt;"",IF(L43&lt;&gt;"",L43,F43),F43)="생산량비례법",(D43-E43)*N43/M43,IF(IF(J43&lt;&gt;"",IF(L43&lt;&gt;"",L43,F43),F43)="정률법",IF(X43-X43*H43*V43/12&lt;=(D43+IF(R43&lt;&gt;"",R43,0))*0.05,Y43,X43*H43*V43/12),IF(IF(J43&lt;&gt;"",IF(L43&lt;&gt;"",L43,F43),F43)="이중체감법",IF(X43-X43*H43*V43/12&lt;=E43,Y43,X43*H43*V43/12),Y43*H43*V43/12)))</f>
        <v/>
      </c>
      <c r="AE43" s="6">
        <f>AD43-AC43</f>
        <v/>
      </c>
      <c r="AF43" s="6" t="n">
        <v>5906250</v>
      </c>
      <c r="AG43" s="6">
        <f>IF(F43="생산량비례법",IF(O43&lt;&gt;"",(D43-E43)*O43/M43,""),(D43+IF(AND(R43&lt;&gt;"",Q43&lt;='기준정보'!$E$4),R43,0))-Z43)</f>
        <v/>
      </c>
      <c r="AH43" s="6">
        <f>AG43-AF43</f>
        <v/>
      </c>
      <c r="AI43" s="6">
        <f>IF(AF43="","",AF43+AC43)</f>
        <v/>
      </c>
      <c r="AJ43" s="6">
        <f>IF(AG43="","",AG43+AD43)</f>
        <v/>
      </c>
      <c r="AK43" s="6">
        <f>AJ43-AI43</f>
        <v/>
      </c>
      <c r="AL43" t="inlineStr">
        <is>
          <t>경미한 차이</t>
        </is>
      </c>
      <c r="AM43" t="inlineStr">
        <is>
          <t>-</t>
        </is>
      </c>
      <c r="AN43" t="inlineStr">
        <is>
          <t>-</t>
        </is>
      </c>
    </row>
    <row r="44">
      <c r="A44" t="inlineStr">
        <is>
          <t>재추정_정률_유형01</t>
        </is>
      </c>
      <c r="B44" t="inlineStr">
        <is>
          <t>유형자산</t>
        </is>
      </c>
      <c r="C44" s="4" t="n">
        <v>44197</v>
      </c>
      <c r="D44" s="6" t="n">
        <v>14000000</v>
      </c>
      <c r="E44" s="6" t="n">
        <v>0</v>
      </c>
      <c r="F44" t="inlineStr">
        <is>
          <t>정률법</t>
        </is>
      </c>
      <c r="G44" t="n">
        <v>6</v>
      </c>
      <c r="H44" s="12">
        <f>IF(IF(J44&lt;&gt;"",IF(L44&lt;&gt;"",L44,F44),F44)="정률법",VLOOKUP(IF(J44&lt;&gt;"",K44,G44),'상각률표(별표4)'!$A$2:$C$60,3,FALSE),IF(IF(J44&lt;&gt;"",IF(L44&lt;&gt;"",L44,F44),F44)="생산량비례법","-",IF(IF(J44&lt;&gt;"",IF(L44&lt;&gt;"",L44,F44),F44)="이중체감법",2/IF(J44&lt;&gt;"",K44,G44),IF(IF(J44&lt;&gt;"",IF(L44&lt;&gt;"",L44,F44),F44)="연수합계법",(IF(J44&lt;&gt;"",K44,G44)-('기준정보'!$E$3-YEAR(IF(J44&lt;&gt;"",J44,C44))+1)+1)/(IF(J44&lt;&gt;"",K44,G44)*(IF(J44&lt;&gt;"",K44,G44)+1)/2),12/W44))))</f>
        <v/>
      </c>
      <c r="I44" s="4" t="inlineStr"/>
      <c r="J44" s="4" t="n">
        <v>45292</v>
      </c>
      <c r="K44" t="n">
        <v>10</v>
      </c>
      <c r="L44" t="inlineStr"/>
      <c r="M44" s="6" t="inlineStr"/>
      <c r="N44" s="6" t="inlineStr"/>
      <c r="O44" s="6" t="inlineStr"/>
      <c r="P44" s="6">
        <f>IF(OR(O44="",N44=""),"",O44+N44)</f>
        <v/>
      </c>
      <c r="Q44" s="4" t="inlineStr"/>
      <c r="R44" s="6" t="inlineStr"/>
      <c r="S44" s="4" t="inlineStr"/>
      <c r="T44" s="4" t="inlineStr"/>
      <c r="U44">
        <f>(YEAR('기준정보'!$E$2)-YEAR(C44))*12+MONTH('기준정보'!$E$2)-MONTH(C44)+1</f>
        <v/>
      </c>
      <c r="V44">
        <f>MAX(0,MAX(0,MIN((IF(J44&lt;&gt;"",YEAR(J44)*12+MONTH(J44),YEAR(C44)*12+MONTH(C44))+W44-1),('기준정보'!$E$3*12+12),IF(I44&lt;&gt;"",YEAR(I44)*12+MONTH(I44),9999999))-MAX(IF(J44&lt;&gt;"",YEAR(J44)*12+MONTH(J44),YEAR(C44)*12+MONTH(C44)),('기준정보'!$E$3*12+1))+1)-IF(S44&lt;&gt;"",MAX(0,MIN(MIN((IF(J44&lt;&gt;"",YEAR(J44)*12+MONTH(J44),YEAR(C44)*12+MONTH(C44))+W44-1),('기준정보'!$E$3*12+12),IF(I44&lt;&gt;"",YEAR(I44)*12+MONTH(I44),9999999)),YEAR(T44)*12+MONTH(T44))-MAX(MAX(IF(J44&lt;&gt;"",YEAR(J44)*12+MONTH(J44),YEAR(C44)*12+MONTH(C44)),('기준정보'!$E$3*12+1)),YEAR(S44)*12+MONTH(S44))+1),0))</f>
        <v/>
      </c>
      <c r="W44">
        <f>IF(J44&lt;&gt;"",K44,G44)*12</f>
        <v/>
      </c>
      <c r="X44" s="6" t="n">
        <v>2308681.995984</v>
      </c>
      <c r="Y44" s="6">
        <f>X44-E44</f>
        <v/>
      </c>
      <c r="Z44" s="6" t="n">
        <v>2308681.995984</v>
      </c>
      <c r="AA44" t="inlineStr">
        <is>
          <t>-</t>
        </is>
      </c>
      <c r="AB44" t="inlineStr">
        <is>
          <t>내용연수재추정(2024-01-01→10년)</t>
        </is>
      </c>
      <c r="AC44" s="6" t="n">
        <v>597949</v>
      </c>
      <c r="AD44" s="6">
        <f>IF(IF(J44&lt;&gt;"",IF(L44&lt;&gt;"",L44,F44),F44)="생산량비례법",(D44-E44)*N44/M44,IF(IF(J44&lt;&gt;"",IF(L44&lt;&gt;"",L44,F44),F44)="정률법",IF(X44-X44*H44*V44/12&lt;=(D44+IF(R44&lt;&gt;"",R44,0))*0.05,Y44,X44*H44*V44/12),IF(IF(J44&lt;&gt;"",IF(L44&lt;&gt;"",L44,F44),F44)="이중체감법",IF(X44-X44*H44*V44/12&lt;=E44,Y44,X44*H44*V44/12),Y44*H44*V44/12)))</f>
        <v/>
      </c>
      <c r="AE44" s="6">
        <f>AD44-AC44</f>
        <v/>
      </c>
      <c r="AF44" s="6" t="n">
        <v>12041318</v>
      </c>
      <c r="AG44" s="6">
        <f>IF(F44="생산량비례법",IF(O44&lt;&gt;"",(D44-E44)*O44/M44,""),(D44+IF(AND(R44&lt;&gt;"",Q44&lt;='기준정보'!$E$4),R44,0))-Z44)</f>
        <v/>
      </c>
      <c r="AH44" s="6">
        <f>AG44-AF44</f>
        <v/>
      </c>
      <c r="AI44" s="6">
        <f>IF(AF44="","",AF44+AC44)</f>
        <v/>
      </c>
      <c r="AJ44" s="6">
        <f>IF(AG44="","",AG44+AD44)</f>
        <v/>
      </c>
      <c r="AK44" s="6">
        <f>AJ44-AI44</f>
        <v/>
      </c>
      <c r="AL44" t="inlineStr">
        <is>
          <t>경미한 차이</t>
        </is>
      </c>
      <c r="AM44" t="inlineStr">
        <is>
          <t>-</t>
        </is>
      </c>
      <c r="AN44" t="inlineStr">
        <is>
          <t>-</t>
        </is>
      </c>
    </row>
    <row r="45">
      <c r="A45" t="inlineStr">
        <is>
          <t>재추정_정률_무형01</t>
        </is>
      </c>
      <c r="B45" t="inlineStr">
        <is>
          <t>무형자산</t>
        </is>
      </c>
      <c r="C45" s="4" t="n">
        <v>44562</v>
      </c>
      <c r="D45" s="6" t="n">
        <v>10000000</v>
      </c>
      <c r="E45" s="6" t="n">
        <v>0</v>
      </c>
      <c r="F45" t="inlineStr">
        <is>
          <t>정률법</t>
        </is>
      </c>
      <c r="G45" t="n">
        <v>5</v>
      </c>
      <c r="H45" s="12">
        <f>IF(IF(J45&lt;&gt;"",IF(L45&lt;&gt;"",L45,F45),F45)="정률법",VLOOKUP(IF(J45&lt;&gt;"",K45,G45),'상각률표(별표4)'!$A$2:$C$60,3,FALSE),IF(IF(J45&lt;&gt;"",IF(L45&lt;&gt;"",L45,F45),F45)="생산량비례법","-",IF(IF(J45&lt;&gt;"",IF(L45&lt;&gt;"",L45,F45),F45)="이중체감법",2/IF(J45&lt;&gt;"",K45,G45),IF(IF(J45&lt;&gt;"",IF(L45&lt;&gt;"",L45,F45),F45)="연수합계법",(IF(J45&lt;&gt;"",K45,G45)-('기준정보'!$E$3-YEAR(IF(J45&lt;&gt;"",J45,C45))+1)+1)/(IF(J45&lt;&gt;"",K45,G45)*(IF(J45&lt;&gt;"",K45,G45)+1)/2),12/W45))))</f>
        <v/>
      </c>
      <c r="I45" s="4" t="inlineStr"/>
      <c r="J45" s="4" t="n">
        <v>45292</v>
      </c>
      <c r="K45" t="n">
        <v>8</v>
      </c>
      <c r="L45" t="inlineStr"/>
      <c r="M45" s="6" t="inlineStr"/>
      <c r="N45" s="6" t="inlineStr"/>
      <c r="O45" s="6" t="inlineStr"/>
      <c r="P45" s="6">
        <f>IF(OR(O45="",N45=""),"",O45+N45)</f>
        <v/>
      </c>
      <c r="Q45" s="4" t="inlineStr"/>
      <c r="R45" s="6" t="inlineStr"/>
      <c r="S45" s="4" t="inlineStr"/>
      <c r="T45" s="4" t="inlineStr"/>
      <c r="U45">
        <f>(YEAR('기준정보'!$E$2)-YEAR(C45))*12+MONTH('기준정보'!$E$2)-MONTH(C45)+1</f>
        <v/>
      </c>
      <c r="V45">
        <f>MAX(0,MAX(0,MIN((IF(J45&lt;&gt;"",YEAR(J45)*12+MONTH(J45),YEAR(C45)*12+MONTH(C45))+W45-1),('기준정보'!$E$3*12+12),IF(I45&lt;&gt;"",YEAR(I45)*12+MONTH(I45),9999999))-MAX(IF(J45&lt;&gt;"",YEAR(J45)*12+MONTH(J45),YEAR(C45)*12+MONTH(C45)),('기준정보'!$E$3*12+1))+1)-IF(S45&lt;&gt;"",MAX(0,MIN(MIN((IF(J45&lt;&gt;"",YEAR(J45)*12+MONTH(J45),YEAR(C45)*12+MONTH(C45))+W45-1),('기준정보'!$E$3*12+12),IF(I45&lt;&gt;"",YEAR(I45)*12+MONTH(I45),9999999)),YEAR(T45)*12+MONTH(T45))-MAX(MAX(IF(J45&lt;&gt;"",YEAR(J45)*12+MONTH(J45),YEAR(C45)*12+MONTH(C45)),('기준정보'!$E$3*12+1)),YEAR(S45)*12+MONTH(S45))+1),0))</f>
        <v/>
      </c>
      <c r="W45">
        <f>IF(J45&lt;&gt;"",K45,G45)*12</f>
        <v/>
      </c>
      <c r="X45" s="6" t="n">
        <v>2070624.87</v>
      </c>
      <c r="Y45" s="6">
        <f>X45-E45</f>
        <v/>
      </c>
      <c r="Z45" s="6" t="n">
        <v>2070624.87</v>
      </c>
      <c r="AA45" t="inlineStr">
        <is>
          <t>-</t>
        </is>
      </c>
      <c r="AB45" t="inlineStr">
        <is>
          <t>내용연수재추정(2024-01-01→8년)</t>
        </is>
      </c>
      <c r="AC45" s="6" t="n">
        <v>648106</v>
      </c>
      <c r="AD45" s="6">
        <f>IF(IF(J45&lt;&gt;"",IF(L45&lt;&gt;"",L45,F45),F45)="생산량비례법",(D45-E45)*N45/M45,IF(IF(J45&lt;&gt;"",IF(L45&lt;&gt;"",L45,F45),F45)="정률법",IF(X45-X45*H45*V45/12&lt;=(D45+IF(R45&lt;&gt;"",R45,0))*0.05,Y45,X45*H45*V45/12),IF(IF(J45&lt;&gt;"",IF(L45&lt;&gt;"",L45,F45),F45)="이중체감법",IF(X45-X45*H45*V45/12&lt;=E45,Y45,X45*H45*V45/12),Y45*H45*V45/12)))</f>
        <v/>
      </c>
      <c r="AE45" s="6">
        <f>AD45-AC45</f>
        <v/>
      </c>
      <c r="AF45" s="6" t="n">
        <v>7929375</v>
      </c>
      <c r="AG45" s="6">
        <f>IF(F45="생산량비례법",IF(O45&lt;&gt;"",(D45-E45)*O45/M45,""),(D45+IF(AND(R45&lt;&gt;"",Q45&lt;='기준정보'!$E$4),R45,0))-Z45)</f>
        <v/>
      </c>
      <c r="AH45" s="6">
        <f>AG45-AF45</f>
        <v/>
      </c>
      <c r="AI45" s="6">
        <f>IF(AF45="","",AF45+AC45)</f>
        <v/>
      </c>
      <c r="AJ45" s="6">
        <f>IF(AG45="","",AG45+AD45)</f>
        <v/>
      </c>
      <c r="AK45" s="6">
        <f>AJ45-AI45</f>
        <v/>
      </c>
      <c r="AL45" t="inlineStr">
        <is>
          <t>경미한 차이</t>
        </is>
      </c>
      <c r="AM45" t="inlineStr">
        <is>
          <t>-</t>
        </is>
      </c>
      <c r="AN45" t="inlineStr">
        <is>
          <t>-</t>
        </is>
      </c>
    </row>
    <row r="46">
      <c r="A46" s="13" t="inlineStr">
        <is>
          <t>재추정_정액_유형02</t>
        </is>
      </c>
      <c r="B46" s="13" t="inlineStr">
        <is>
          <t>유형자산</t>
        </is>
      </c>
      <c r="C46" s="14" t="n">
        <v>43831</v>
      </c>
      <c r="D46" s="15" t="n">
        <v>11000000</v>
      </c>
      <c r="E46" s="15" t="n">
        <v>0</v>
      </c>
      <c r="F46" s="13" t="inlineStr">
        <is>
          <t>정액법</t>
        </is>
      </c>
      <c r="G46" s="13" t="n">
        <v>5</v>
      </c>
      <c r="H46" s="16">
        <f>IF(IF(J46&lt;&gt;"",IF(L46&lt;&gt;"",L46,F46),F46)="정률법",VLOOKUP(IF(J46&lt;&gt;"",K46,G46),'상각률표(별표4)'!$A$2:$C$60,3,FALSE),IF(IF(J46&lt;&gt;"",IF(L46&lt;&gt;"",L46,F46),F46)="생산량비례법","-",IF(IF(J46&lt;&gt;"",IF(L46&lt;&gt;"",L46,F46),F46)="이중체감법",2/IF(J46&lt;&gt;"",K46,G46),IF(IF(J46&lt;&gt;"",IF(L46&lt;&gt;"",L46,F46),F46)="연수합계법",(IF(J46&lt;&gt;"",K46,G46)-('기준정보'!$E$3-YEAR(IF(J46&lt;&gt;"",J46,C46))+1)+1)/(IF(J46&lt;&gt;"",K46,G46)*(IF(J46&lt;&gt;"",K46,G46)+1)/2),12/W46))))</f>
        <v/>
      </c>
      <c r="I46" s="14" t="inlineStr"/>
      <c r="J46" s="14" t="n">
        <v>44927</v>
      </c>
      <c r="K46" s="13" t="n">
        <v>7</v>
      </c>
      <c r="L46" s="13" t="inlineStr"/>
      <c r="M46" s="15" t="inlineStr"/>
      <c r="N46" s="15" t="inlineStr"/>
      <c r="O46" s="15" t="inlineStr"/>
      <c r="P46" s="15">
        <f>IF(OR(O46="",N46=""),"",O46+N46)</f>
        <v/>
      </c>
      <c r="Q46" s="14" t="inlineStr"/>
      <c r="R46" s="15" t="inlineStr"/>
      <c r="S46" s="14" t="inlineStr"/>
      <c r="T46" s="14" t="inlineStr"/>
      <c r="U46" s="13">
        <f>(YEAR('기준정보'!$E$2)-YEAR(C46))*12+MONTH('기준정보'!$E$2)-MONTH(C46)+1</f>
        <v/>
      </c>
      <c r="V46" s="13">
        <f>MAX(0,MAX(0,MIN((IF(J46&lt;&gt;"",YEAR(J46)*12+MONTH(J46),YEAR(C46)*12+MONTH(C46))+W46-1),('기준정보'!$E$3*12+12),IF(I46&lt;&gt;"",YEAR(I46)*12+MONTH(I46),9999999))-MAX(IF(J46&lt;&gt;"",YEAR(J46)*12+MONTH(J46),YEAR(C46)*12+MONTH(C46)),('기준정보'!$E$3*12+1))+1)-IF(S46&lt;&gt;"",MAX(0,MIN(MIN((IF(J46&lt;&gt;"",YEAR(J46)*12+MONTH(J46),YEAR(C46)*12+MONTH(C46))+W46-1),('기준정보'!$E$3*12+12),IF(I46&lt;&gt;"",YEAR(I46)*12+MONTH(I46),9999999)),YEAR(T46)*12+MONTH(T46))-MAX(MAX(IF(J46&lt;&gt;"",YEAR(J46)*12+MONTH(J46),YEAR(C46)*12+MONTH(C46)),('기준정보'!$E$3*12+1)),YEAR(S46)*12+MONTH(S46))+1),0))</f>
        <v/>
      </c>
      <c r="W46" s="13">
        <f>IF(J46&lt;&gt;"",K46,G46)*12</f>
        <v/>
      </c>
      <c r="X46" s="15" t="n">
        <v>4400000</v>
      </c>
      <c r="Y46" s="15">
        <f>X46-E46</f>
        <v/>
      </c>
      <c r="Z46" s="15" t="n">
        <v>3142857.142857143</v>
      </c>
      <c r="AA46" s="13" t="inlineStr">
        <is>
          <t>-</t>
        </is>
      </c>
      <c r="AB46" s="13" t="inlineStr">
        <is>
          <t>내용연수재추정(2023-01-01→7년)</t>
        </is>
      </c>
      <c r="AC46" s="15" t="n">
        <v>428571</v>
      </c>
      <c r="AD46" s="15">
        <f>IF(IF(J46&lt;&gt;"",IF(L46&lt;&gt;"",L46,F46),F46)="생산량비례법",(D46-E46)*N46/M46,IF(IF(J46&lt;&gt;"",IF(L46&lt;&gt;"",L46,F46),F46)="정률법",IF(X46-X46*H46*V46/12&lt;=(D46+IF(R46&lt;&gt;"",R46,0))*0.05,Y46,X46*H46*V46/12),IF(IF(J46&lt;&gt;"",IF(L46&lt;&gt;"",L46,F46),F46)="이중체감법",IF(X46-X46*H46*V46/12&lt;=E46,Y46,X46*H46*V46/12),Y46*H46*V46/12)))</f>
        <v/>
      </c>
      <c r="AE46" s="15">
        <f>AD46-AC46</f>
        <v/>
      </c>
      <c r="AF46" s="15" t="n">
        <v>7857142</v>
      </c>
      <c r="AG46" s="15">
        <f>IF(F46="생산량비례법",IF(O46&lt;&gt;"",(D46-E46)*O46/M46,""),(D46+IF(AND(R46&lt;&gt;"",Q46&lt;='기준정보'!$E$4),R46,0))-Z46)</f>
        <v/>
      </c>
      <c r="AH46" s="15">
        <f>AG46-AF46</f>
        <v/>
      </c>
      <c r="AI46" s="15">
        <f>IF(AF46="","",AF46+AC46)</f>
        <v/>
      </c>
      <c r="AJ46" s="15">
        <f>IF(AG46="","",AG46+AD46)</f>
        <v/>
      </c>
      <c r="AK46" s="15">
        <f>AJ46-AI46</f>
        <v/>
      </c>
      <c r="AL46" s="13" t="inlineStr">
        <is>
          <t>경미한 차이</t>
        </is>
      </c>
      <c r="AM46" s="13" t="inlineStr">
        <is>
          <t>내용연수 재추정 반영 오류 추정(재추정시점 장부가액/신규 내용연수 미반영 가능성)</t>
        </is>
      </c>
      <c r="AN46" s="13" t="inlineStr">
        <is>
          <t>규칙</t>
        </is>
      </c>
    </row>
    <row r="47">
      <c r="A47" t="inlineStr">
        <is>
          <t>재추정_정률_유형02</t>
        </is>
      </c>
      <c r="B47" t="inlineStr">
        <is>
          <t>유형자산</t>
        </is>
      </c>
      <c r="C47" s="4" t="n">
        <v>43831</v>
      </c>
      <c r="D47" s="6" t="n">
        <v>13000000</v>
      </c>
      <c r="E47" s="6" t="n">
        <v>0</v>
      </c>
      <c r="F47" t="inlineStr">
        <is>
          <t>정률법</t>
        </is>
      </c>
      <c r="G47" t="n">
        <v>5</v>
      </c>
      <c r="H47" s="12">
        <f>IF(IF(J47&lt;&gt;"",IF(L47&lt;&gt;"",L47,F47),F47)="정률법",VLOOKUP(IF(J47&lt;&gt;"",K47,G47),'상각률표(별표4)'!$A$2:$C$60,3,FALSE),IF(IF(J47&lt;&gt;"",IF(L47&lt;&gt;"",L47,F47),F47)="생산량비례법","-",IF(IF(J47&lt;&gt;"",IF(L47&lt;&gt;"",L47,F47),F47)="이중체감법",2/IF(J47&lt;&gt;"",K47,G47),IF(IF(J47&lt;&gt;"",IF(L47&lt;&gt;"",L47,F47),F47)="연수합계법",(IF(J47&lt;&gt;"",K47,G47)-('기준정보'!$E$3-YEAR(IF(J47&lt;&gt;"",J47,C47))+1)+1)/(IF(J47&lt;&gt;"",K47,G47)*(IF(J47&lt;&gt;"",K47,G47)+1)/2),12/W47))))</f>
        <v/>
      </c>
      <c r="I47" s="4" t="inlineStr"/>
      <c r="J47" s="4" t="n">
        <v>44927</v>
      </c>
      <c r="K47" t="n">
        <v>9</v>
      </c>
      <c r="L47" t="inlineStr"/>
      <c r="M47" s="6" t="inlineStr"/>
      <c r="N47" s="6" t="inlineStr"/>
      <c r="O47" s="6" t="inlineStr"/>
      <c r="P47" s="6">
        <f>IF(OR(O47="",N47=""),"",O47+N47)</f>
        <v/>
      </c>
      <c r="Q47" s="4" t="inlineStr"/>
      <c r="R47" s="6" t="inlineStr"/>
      <c r="S47" s="4" t="inlineStr"/>
      <c r="T47" s="4" t="inlineStr"/>
      <c r="U47">
        <f>(YEAR('기준정보'!$E$2)-YEAR(C47))*12+MONTH('기준정보'!$E$2)-MONTH(C47)+1</f>
        <v/>
      </c>
      <c r="V47">
        <f>MAX(0,MAX(0,MIN((IF(J47&lt;&gt;"",YEAR(J47)*12+MONTH(J47),YEAR(C47)*12+MONTH(C47))+W47-1),('기준정보'!$E$3*12+12),IF(I47&lt;&gt;"",YEAR(I47)*12+MONTH(I47),9999999))-MAX(IF(J47&lt;&gt;"",YEAR(J47)*12+MONTH(J47),YEAR(C47)*12+MONTH(C47)),('기준정보'!$E$3*12+1))+1)-IF(S47&lt;&gt;"",MAX(0,MIN(MIN((IF(J47&lt;&gt;"",YEAR(J47)*12+MONTH(J47),YEAR(C47)*12+MONTH(C47))+W47-1),('기준정보'!$E$3*12+12),IF(I47&lt;&gt;"",YEAR(I47)*12+MONTH(I47),9999999)),YEAR(T47)*12+MONTH(T47))-MAX(MAX(IF(J47&lt;&gt;"",YEAR(J47)*12+MONTH(J47),YEAR(C47)*12+MONTH(C47)),('기준정보'!$E$3*12+1)),YEAR(S47)*12+MONTH(S47))+1),0))</f>
        <v/>
      </c>
      <c r="W47">
        <f>IF(J47&lt;&gt;"",K47,G47)*12</f>
        <v/>
      </c>
      <c r="X47" s="6" t="n">
        <v>1102773.776646672</v>
      </c>
      <c r="Y47" s="6">
        <f>X47-E47</f>
        <v/>
      </c>
      <c r="Z47" s="6" t="n">
        <v>1102773.776646672</v>
      </c>
      <c r="AA47" t="inlineStr">
        <is>
          <t>-</t>
        </is>
      </c>
      <c r="AB47" t="inlineStr">
        <is>
          <t>내용연수재추정(2023-01-01→9년)</t>
        </is>
      </c>
      <c r="AC47" s="6" t="n">
        <v>313188</v>
      </c>
      <c r="AD47" s="6">
        <f>IF(IF(J47&lt;&gt;"",IF(L47&lt;&gt;"",L47,F47),F47)="생산량비례법",(D47-E47)*N47/M47,IF(IF(J47&lt;&gt;"",IF(L47&lt;&gt;"",L47,F47),F47)="정률법",IF(X47-X47*H47*V47/12&lt;=(D47+IF(R47&lt;&gt;"",R47,0))*0.05,Y47,X47*H47*V47/12),IF(IF(J47&lt;&gt;"",IF(L47&lt;&gt;"",L47,F47),F47)="이중체감법",IF(X47-X47*H47*V47/12&lt;=E47,Y47,X47*H47*V47/12),Y47*H47*V47/12)))</f>
        <v/>
      </c>
      <c r="AE47" s="6">
        <f>AD47-AC47</f>
        <v/>
      </c>
      <c r="AF47" s="6" t="n">
        <v>11897226</v>
      </c>
      <c r="AG47" s="6">
        <f>IF(F47="생산량비례법",IF(O47&lt;&gt;"",(D47-E47)*O47/M47,""),(D47+IF(AND(R47&lt;&gt;"",Q47&lt;='기준정보'!$E$4),R47,0))-Z47)</f>
        <v/>
      </c>
      <c r="AH47" s="6">
        <f>AG47-AF47</f>
        <v/>
      </c>
      <c r="AI47" s="6">
        <f>IF(AF47="","",AF47+AC47)</f>
        <v/>
      </c>
      <c r="AJ47" s="6">
        <f>IF(AG47="","",AG47+AD47)</f>
        <v/>
      </c>
      <c r="AK47" s="6">
        <f>AJ47-AI47</f>
        <v/>
      </c>
      <c r="AL47" t="inlineStr">
        <is>
          <t>경미한 차이</t>
        </is>
      </c>
      <c r="AM47" t="inlineStr">
        <is>
          <t>-</t>
        </is>
      </c>
      <c r="AN47" t="inlineStr">
        <is>
          <t>-</t>
        </is>
      </c>
    </row>
    <row r="48">
      <c r="A48" t="inlineStr">
        <is>
          <t>방법변경_정액to정률_01</t>
        </is>
      </c>
      <c r="B48" t="inlineStr">
        <is>
          <t>유형자산</t>
        </is>
      </c>
      <c r="C48" s="4" t="n">
        <v>44197</v>
      </c>
      <c r="D48" s="6" t="n">
        <v>12000000</v>
      </c>
      <c r="E48" s="6" t="n">
        <v>0</v>
      </c>
      <c r="F48" t="inlineStr">
        <is>
          <t>정액법</t>
        </is>
      </c>
      <c r="G48" t="n">
        <v>10</v>
      </c>
      <c r="H48" s="12">
        <f>IF(IF(J48&lt;&gt;"",IF(L48&lt;&gt;"",L48,F48),F48)="정률법",VLOOKUP(IF(J48&lt;&gt;"",K48,G48),'상각률표(별표4)'!$A$2:$C$60,3,FALSE),IF(IF(J48&lt;&gt;"",IF(L48&lt;&gt;"",L48,F48),F48)="생산량비례법","-",IF(IF(J48&lt;&gt;"",IF(L48&lt;&gt;"",L48,F48),F48)="이중체감법",2/IF(J48&lt;&gt;"",K48,G48),IF(IF(J48&lt;&gt;"",IF(L48&lt;&gt;"",L48,F48),F48)="연수합계법",(IF(J48&lt;&gt;"",K48,G48)-('기준정보'!$E$3-YEAR(IF(J48&lt;&gt;"",J48,C48))+1)+1)/(IF(J48&lt;&gt;"",K48,G48)*(IF(J48&lt;&gt;"",K48,G48)+1)/2),12/W48))))</f>
        <v/>
      </c>
      <c r="I48" s="4" t="inlineStr"/>
      <c r="J48" s="4" t="n">
        <v>45292</v>
      </c>
      <c r="K48" t="n">
        <v>6</v>
      </c>
      <c r="L48" t="inlineStr">
        <is>
          <t>정률법</t>
        </is>
      </c>
      <c r="M48" s="6" t="inlineStr"/>
      <c r="N48" s="6" t="inlineStr"/>
      <c r="O48" s="6" t="inlineStr"/>
      <c r="P48" s="6">
        <f>IF(OR(O48="",N48=""),"",O48+N48)</f>
        <v/>
      </c>
      <c r="Q48" s="4" t="inlineStr"/>
      <c r="R48" s="6" t="inlineStr"/>
      <c r="S48" s="4" t="inlineStr"/>
      <c r="T48" s="4" t="inlineStr"/>
      <c r="U48">
        <f>(YEAR('기준정보'!$E$2)-YEAR(C48))*12+MONTH('기준정보'!$E$2)-MONTH(C48)+1</f>
        <v/>
      </c>
      <c r="V48">
        <f>MAX(0,MAX(0,MIN((IF(J48&lt;&gt;"",YEAR(J48)*12+MONTH(J48),YEAR(C48)*12+MONTH(C48))+W48-1),('기준정보'!$E$3*12+12),IF(I48&lt;&gt;"",YEAR(I48)*12+MONTH(I48),9999999))-MAX(IF(J48&lt;&gt;"",YEAR(J48)*12+MONTH(J48),YEAR(C48)*12+MONTH(C48)),('기준정보'!$E$3*12+1))+1)-IF(S48&lt;&gt;"",MAX(0,MIN(MIN((IF(J48&lt;&gt;"",YEAR(J48)*12+MONTH(J48),YEAR(C48)*12+MONTH(C48))+W48-1),('기준정보'!$E$3*12+12),IF(I48&lt;&gt;"",YEAR(I48)*12+MONTH(I48),9999999)),YEAR(T48)*12+MONTH(T48))-MAX(MAX(IF(J48&lt;&gt;"",YEAR(J48)*12+MONTH(J48),YEAR(C48)*12+MONTH(C48)),('기준정보'!$E$3*12+1)),YEAR(S48)*12+MONTH(S48))+1),0))</f>
        <v/>
      </c>
      <c r="W48">
        <f>IF(J48&lt;&gt;"",K48,G48)*12</f>
        <v/>
      </c>
      <c r="X48" s="6" t="n">
        <v>5090400</v>
      </c>
      <c r="Y48" s="6">
        <f>X48-E48</f>
        <v/>
      </c>
      <c r="Z48" s="6" t="n">
        <v>5090400</v>
      </c>
      <c r="AA48" t="inlineStr">
        <is>
          <t>-</t>
        </is>
      </c>
      <c r="AB48" t="inlineStr">
        <is>
          <t>내용연수재추정(2024-01-01→6년→정률법)</t>
        </is>
      </c>
      <c r="AC48" s="6" t="n">
        <v>2005618</v>
      </c>
      <c r="AD48" s="6">
        <f>IF(IF(J48&lt;&gt;"",IF(L48&lt;&gt;"",L48,F48),F48)="생산량비례법",(D48-E48)*N48/M48,IF(IF(J48&lt;&gt;"",IF(L48&lt;&gt;"",L48,F48),F48)="정률법",IF(X48-X48*H48*V48/12&lt;=(D48+IF(R48&lt;&gt;"",R48,0))*0.05,Y48,X48*H48*V48/12),IF(IF(J48&lt;&gt;"",IF(L48&lt;&gt;"",L48,F48),F48)="이중체감법",IF(X48-X48*H48*V48/12&lt;=E48,Y48,X48*H48*V48/12),Y48*H48*V48/12)))</f>
        <v/>
      </c>
      <c r="AE48" s="6">
        <f>AD48-AC48</f>
        <v/>
      </c>
      <c r="AF48" s="6" t="n">
        <v>6909600</v>
      </c>
      <c r="AG48" s="6">
        <f>IF(F48="생산량비례법",IF(O48&lt;&gt;"",(D48-E48)*O48/M48,""),(D48+IF(AND(R48&lt;&gt;"",Q48&lt;='기준정보'!$E$4),R48,0))-Z48)</f>
        <v/>
      </c>
      <c r="AH48" s="6">
        <f>AG48-AF48</f>
        <v/>
      </c>
      <c r="AI48" s="6">
        <f>IF(AF48="","",AF48+AC48)</f>
        <v/>
      </c>
      <c r="AJ48" s="6">
        <f>IF(AG48="","",AG48+AD48)</f>
        <v/>
      </c>
      <c r="AK48" s="6">
        <f>AJ48-AI48</f>
        <v/>
      </c>
      <c r="AL48" t="inlineStr">
        <is>
          <t>경미한 차이</t>
        </is>
      </c>
      <c r="AM48" t="inlineStr">
        <is>
          <t>-</t>
        </is>
      </c>
      <c r="AN48" t="inlineStr">
        <is>
          <t>-</t>
        </is>
      </c>
    </row>
    <row r="49">
      <c r="A49" t="inlineStr">
        <is>
          <t>방법변경_정액to정률_02</t>
        </is>
      </c>
      <c r="B49" t="inlineStr">
        <is>
          <t>무형자산</t>
        </is>
      </c>
      <c r="C49" s="4" t="n">
        <v>43831</v>
      </c>
      <c r="D49" s="6" t="n">
        <v>9000000</v>
      </c>
      <c r="E49" s="6" t="n">
        <v>0</v>
      </c>
      <c r="F49" t="inlineStr">
        <is>
          <t>정액법</t>
        </is>
      </c>
      <c r="G49" t="n">
        <v>8</v>
      </c>
      <c r="H49" s="12">
        <f>IF(IF(J49&lt;&gt;"",IF(L49&lt;&gt;"",L49,F49),F49)="정률법",VLOOKUP(IF(J49&lt;&gt;"",K49,G49),'상각률표(별표4)'!$A$2:$C$60,3,FALSE),IF(IF(J49&lt;&gt;"",IF(L49&lt;&gt;"",L49,F49),F49)="생산량비례법","-",IF(IF(J49&lt;&gt;"",IF(L49&lt;&gt;"",L49,F49),F49)="이중체감법",2/IF(J49&lt;&gt;"",K49,G49),IF(IF(J49&lt;&gt;"",IF(L49&lt;&gt;"",L49,F49),F49)="연수합계법",(IF(J49&lt;&gt;"",K49,G49)-('기준정보'!$E$3-YEAR(IF(J49&lt;&gt;"",J49,C49))+1)+1)/(IF(J49&lt;&gt;"",K49,G49)*(IF(J49&lt;&gt;"",K49,G49)+1)/2),12/W49))))</f>
        <v/>
      </c>
      <c r="I49" s="4" t="inlineStr"/>
      <c r="J49" s="4" t="n">
        <v>45748</v>
      </c>
      <c r="K49" t="n">
        <v>5</v>
      </c>
      <c r="L49" t="inlineStr">
        <is>
          <t>정률법</t>
        </is>
      </c>
      <c r="M49" s="6" t="inlineStr"/>
      <c r="N49" s="6" t="inlineStr"/>
      <c r="O49" s="6" t="inlineStr"/>
      <c r="P49" s="6">
        <f>IF(OR(O49="",N49=""),"",O49+N49)</f>
        <v/>
      </c>
      <c r="Q49" s="4" t="inlineStr"/>
      <c r="R49" s="6" t="inlineStr"/>
      <c r="S49" s="4" t="inlineStr"/>
      <c r="T49" s="4" t="inlineStr"/>
      <c r="U49">
        <f>(YEAR('기준정보'!$E$2)-YEAR(C49))*12+MONTH('기준정보'!$E$2)-MONTH(C49)+1</f>
        <v/>
      </c>
      <c r="V49" t="n">
        <v>12</v>
      </c>
      <c r="W49" t="n">
        <v>96</v>
      </c>
      <c r="X49" s="6" t="n">
        <v>9000000</v>
      </c>
      <c r="Y49" s="6">
        <f>X49-E49</f>
        <v/>
      </c>
      <c r="Z49" s="6" t="n">
        <v>3375000</v>
      </c>
      <c r="AA49" t="inlineStr">
        <is>
          <t>-</t>
        </is>
      </c>
      <c r="AB49" t="inlineStr">
        <is>
          <t>내용연수재추정(2025-04-01→5년→정률법)</t>
        </is>
      </c>
      <c r="AC49" s="6" t="n">
        <v>1327711</v>
      </c>
      <c r="AD49" s="6" t="n">
        <v>1327711</v>
      </c>
      <c r="AE49" s="6">
        <f>AD49-AC49</f>
        <v/>
      </c>
      <c r="AF49" s="6" t="n">
        <v>5625000</v>
      </c>
      <c r="AG49" s="6">
        <f>IF(F49="생산량비례법",IF(O49&lt;&gt;"",(D49-E49)*O49/M49,""),(D49+IF(AND(R49&lt;&gt;"",Q49&lt;='기준정보'!$E$4),R49,0))-Z49)</f>
        <v/>
      </c>
      <c r="AH49" s="6">
        <f>AG49-AF49</f>
        <v/>
      </c>
      <c r="AI49" s="6">
        <f>IF(AF49="","",AF49+AC49)</f>
        <v/>
      </c>
      <c r="AJ49" s="6">
        <f>IF(AG49="","",AG49+AD49)</f>
        <v/>
      </c>
      <c r="AK49" s="6">
        <f>AJ49-AI49</f>
        <v/>
      </c>
      <c r="AL49" t="inlineStr">
        <is>
          <t>경미한 차이</t>
        </is>
      </c>
      <c r="AM49" t="inlineStr">
        <is>
          <t>-</t>
        </is>
      </c>
      <c r="AN49" t="inlineStr">
        <is>
          <t>-</t>
        </is>
      </c>
    </row>
    <row r="50">
      <c r="A50" t="inlineStr">
        <is>
          <t>방법변경_정률to정액_01</t>
        </is>
      </c>
      <c r="B50" t="inlineStr">
        <is>
          <t>유형자산</t>
        </is>
      </c>
      <c r="C50" s="4" t="n">
        <v>43831</v>
      </c>
      <c r="D50" s="6" t="n">
        <v>15000000</v>
      </c>
      <c r="E50" s="6" t="n">
        <v>0</v>
      </c>
      <c r="F50" t="inlineStr">
        <is>
          <t>정률법</t>
        </is>
      </c>
      <c r="G50" t="n">
        <v>10</v>
      </c>
      <c r="H50" s="12">
        <f>IF(IF(J50&lt;&gt;"",IF(L50&lt;&gt;"",L50,F50),F50)="정률법",VLOOKUP(IF(J50&lt;&gt;"",K50,G50),'상각률표(별표4)'!$A$2:$C$60,3,FALSE),IF(IF(J50&lt;&gt;"",IF(L50&lt;&gt;"",L50,F50),F50)="생산량비례법","-",IF(IF(J50&lt;&gt;"",IF(L50&lt;&gt;"",L50,F50),F50)="이중체감법",2/IF(J50&lt;&gt;"",K50,G50),IF(IF(J50&lt;&gt;"",IF(L50&lt;&gt;"",L50,F50),F50)="연수합계법",(IF(J50&lt;&gt;"",K50,G50)-('기준정보'!$E$3-YEAR(IF(J50&lt;&gt;"",J50,C50))+1)+1)/(IF(J50&lt;&gt;"",K50,G50)*(IF(J50&lt;&gt;"",K50,G50)+1)/2),12/W50))))</f>
        <v/>
      </c>
      <c r="I50" s="4" t="inlineStr"/>
      <c r="J50" s="4" t="n">
        <v>45292</v>
      </c>
      <c r="K50" t="n">
        <v>6</v>
      </c>
      <c r="L50" t="inlineStr">
        <is>
          <t>정액법</t>
        </is>
      </c>
      <c r="M50" s="6" t="inlineStr"/>
      <c r="N50" s="6" t="inlineStr"/>
      <c r="O50" s="6" t="inlineStr"/>
      <c r="P50" s="6">
        <f>IF(OR(O50="",N50=""),"",O50+N50)</f>
        <v/>
      </c>
      <c r="Q50" s="4" t="inlineStr"/>
      <c r="R50" s="6" t="inlineStr"/>
      <c r="S50" s="4" t="inlineStr"/>
      <c r="T50" s="4" t="inlineStr"/>
      <c r="U50">
        <f>(YEAR('기준정보'!$E$2)-YEAR(C50))*12+MONTH('기준정보'!$E$2)-MONTH(C50)+1</f>
        <v/>
      </c>
      <c r="V50">
        <f>MAX(0,MAX(0,MIN((IF(J50&lt;&gt;"",YEAR(J50)*12+MONTH(J50),YEAR(C50)*12+MONTH(C50))+W50-1),('기준정보'!$E$3*12+12),IF(I50&lt;&gt;"",YEAR(I50)*12+MONTH(I50),9999999))-MAX(IF(J50&lt;&gt;"",YEAR(J50)*12+MONTH(J50),YEAR(C50)*12+MONTH(C50)),('기준정보'!$E$3*12+1))+1)-IF(S50&lt;&gt;"",MAX(0,MIN(MIN((IF(J50&lt;&gt;"",YEAR(J50)*12+MONTH(J50),YEAR(C50)*12+MONTH(C50))+W50-1),('기준정보'!$E$3*12+12),IF(I50&lt;&gt;"",YEAR(I50)*12+MONTH(I50),9999999)),YEAR(T50)*12+MONTH(T50))-MAX(MAX(IF(J50&lt;&gt;"",YEAR(J50)*12+MONTH(J50),YEAR(C50)*12+MONTH(C50)),('기준정보'!$E$3*12+1)),YEAR(S50)*12+MONTH(S50))+1),0))</f>
        <v/>
      </c>
      <c r="W50">
        <f>IF(J50&lt;&gt;"",K50,G50)*12</f>
        <v/>
      </c>
      <c r="X50" s="6" t="n">
        <v>4522349.168415</v>
      </c>
      <c r="Y50" s="6">
        <f>X50-E50</f>
        <v/>
      </c>
      <c r="Z50" s="6" t="n">
        <v>3768624.3070125</v>
      </c>
      <c r="AA50" t="inlineStr">
        <is>
          <t>-</t>
        </is>
      </c>
      <c r="AB50" t="inlineStr">
        <is>
          <t>내용연수재추정(2024-01-01→6년→정액법)</t>
        </is>
      </c>
      <c r="AC50" s="6" t="n">
        <v>753725</v>
      </c>
      <c r="AD50" s="6">
        <f>IF(IF(J50&lt;&gt;"",IF(L50&lt;&gt;"",L50,F50),F50)="생산량비례법",(D50-E50)*N50/M50,IF(IF(J50&lt;&gt;"",IF(L50&lt;&gt;"",L50,F50),F50)="정률법",IF(X50-X50*H50*V50/12&lt;=(D50+IF(R50&lt;&gt;"",R50,0))*0.05,Y50,X50*H50*V50/12),IF(IF(J50&lt;&gt;"",IF(L50&lt;&gt;"",L50,F50),F50)="이중체감법",IF(X50-X50*H50*V50/12&lt;=E50,Y50,X50*H50*V50/12),Y50*H50*V50/12)))</f>
        <v/>
      </c>
      <c r="AE50" s="6">
        <f>AD50-AC50</f>
        <v/>
      </c>
      <c r="AF50" s="6" t="n">
        <v>11231376</v>
      </c>
      <c r="AG50" s="6">
        <f>IF(F50="생산량비례법",IF(O50&lt;&gt;"",(D50-E50)*O50/M50,""),(D50+IF(AND(R50&lt;&gt;"",Q50&lt;='기준정보'!$E$4),R50,0))-Z50)</f>
        <v/>
      </c>
      <c r="AH50" s="6">
        <f>AG50-AF50</f>
        <v/>
      </c>
      <c r="AI50" s="6">
        <f>IF(AF50="","",AF50+AC50)</f>
        <v/>
      </c>
      <c r="AJ50" s="6">
        <f>IF(AG50="","",AG50+AD50)</f>
        <v/>
      </c>
      <c r="AK50" s="6">
        <f>AJ50-AI50</f>
        <v/>
      </c>
      <c r="AL50" t="inlineStr">
        <is>
          <t>경미한 차이</t>
        </is>
      </c>
      <c r="AM50" t="inlineStr">
        <is>
          <t>-</t>
        </is>
      </c>
      <c r="AN50" t="inlineStr">
        <is>
          <t>-</t>
        </is>
      </c>
    </row>
    <row r="51">
      <c r="A51" s="13" t="inlineStr">
        <is>
          <t>방법변경_정률to정액_02</t>
        </is>
      </c>
      <c r="B51" s="13" t="inlineStr">
        <is>
          <t>유형자산</t>
        </is>
      </c>
      <c r="C51" s="14" t="n">
        <v>44197</v>
      </c>
      <c r="D51" s="15" t="n">
        <v>10000000</v>
      </c>
      <c r="E51" s="15" t="n">
        <v>0</v>
      </c>
      <c r="F51" s="13" t="inlineStr">
        <is>
          <t>정률법</t>
        </is>
      </c>
      <c r="G51" s="13" t="n">
        <v>8</v>
      </c>
      <c r="H51" s="16">
        <f>IF(IF(J51&lt;&gt;"",IF(L51&lt;&gt;"",L51,F51),F51)="정률법",VLOOKUP(IF(J51&lt;&gt;"",K51,G51),'상각률표(별표4)'!$A$2:$C$60,3,FALSE),IF(IF(J51&lt;&gt;"",IF(L51&lt;&gt;"",L51,F51),F51)="생산량비례법","-",IF(IF(J51&lt;&gt;"",IF(L51&lt;&gt;"",L51,F51),F51)="이중체감법",2/IF(J51&lt;&gt;"",K51,G51),IF(IF(J51&lt;&gt;"",IF(L51&lt;&gt;"",L51,F51),F51)="연수합계법",(IF(J51&lt;&gt;"",K51,G51)-('기준정보'!$E$3-YEAR(IF(J51&lt;&gt;"",J51,C51))+1)+1)/(IF(J51&lt;&gt;"",K51,G51)*(IF(J51&lt;&gt;"",K51,G51)+1)/2),12/W51))))</f>
        <v/>
      </c>
      <c r="I51" s="14" t="inlineStr"/>
      <c r="J51" s="14" t="n">
        <v>45839</v>
      </c>
      <c r="K51" s="13" t="n">
        <v>4</v>
      </c>
      <c r="L51" s="13" t="inlineStr">
        <is>
          <t>정액법</t>
        </is>
      </c>
      <c r="M51" s="15" t="inlineStr"/>
      <c r="N51" s="15" t="inlineStr"/>
      <c r="O51" s="15" t="inlineStr"/>
      <c r="P51" s="15">
        <f>IF(OR(O51="",N51=""),"",O51+N51)</f>
        <v/>
      </c>
      <c r="Q51" s="14" t="inlineStr"/>
      <c r="R51" s="15" t="inlineStr"/>
      <c r="S51" s="14" t="inlineStr"/>
      <c r="T51" s="14" t="inlineStr"/>
      <c r="U51" s="13">
        <f>(YEAR('기준정보'!$E$2)-YEAR(C51))*12+MONTH('기준정보'!$E$2)-MONTH(C51)+1</f>
        <v/>
      </c>
      <c r="V51" s="13" t="n">
        <v>12</v>
      </c>
      <c r="W51" s="13" t="n">
        <v>96</v>
      </c>
      <c r="X51" s="15" t="n">
        <v>2227547.36961</v>
      </c>
      <c r="Y51" s="15">
        <f>X51-E51</f>
        <v/>
      </c>
      <c r="Z51" s="15" t="n">
        <v>2227547.36961</v>
      </c>
      <c r="AA51" s="13" t="inlineStr">
        <is>
          <t>-</t>
        </is>
      </c>
      <c r="AB51" s="13" t="inlineStr">
        <is>
          <t>내용연수재추정(2025-07-01→4년→정액법)</t>
        </is>
      </c>
      <c r="AC51" s="15" t="n">
        <v>983478</v>
      </c>
      <c r="AD51" s="15" t="n">
        <v>583478</v>
      </c>
      <c r="AE51" s="15">
        <f>AD51-AC51</f>
        <v/>
      </c>
      <c r="AF51" s="15" t="n">
        <v>7772453</v>
      </c>
      <c r="AG51" s="15">
        <f>IF(F51="생산량비례법",IF(O51&lt;&gt;"",(D51-E51)*O51/M51,""),(D51+IF(AND(R51&lt;&gt;"",Q51&lt;='기준정보'!$E$4),R51,0))-Z51)</f>
        <v/>
      </c>
      <c r="AH51" s="15">
        <f>AG51-AF51</f>
        <v/>
      </c>
      <c r="AI51" s="15">
        <f>IF(AF51="","",AF51+AC51)</f>
        <v/>
      </c>
      <c r="AJ51" s="15">
        <f>IF(AG51="","",AG51+AD51)</f>
        <v/>
      </c>
      <c r="AK51" s="15">
        <f>AJ51-AI51</f>
        <v/>
      </c>
      <c r="AL51" s="13" t="inlineStr">
        <is>
          <t>경미한 차이</t>
        </is>
      </c>
      <c r="AM51" s="13" t="inlineStr">
        <is>
          <t>내용연수 재추정 반영 오류 추정(재추정시점 장부가액/신규 내용연수 미반영 가능성)</t>
        </is>
      </c>
      <c r="AN51" s="13" t="inlineStr">
        <is>
          <t>규칙</t>
        </is>
      </c>
    </row>
    <row r="52">
      <c r="A52" t="inlineStr">
        <is>
          <t>자본적지출_정액_전기_01</t>
        </is>
      </c>
      <c r="B52" t="inlineStr">
        <is>
          <t>유형자산</t>
        </is>
      </c>
      <c r="C52" s="4" t="n">
        <v>43831</v>
      </c>
      <c r="D52" s="6" t="n">
        <v>10000000</v>
      </c>
      <c r="E52" s="6" t="n">
        <v>0</v>
      </c>
      <c r="F52" t="inlineStr">
        <is>
          <t>정액법</t>
        </is>
      </c>
      <c r="G52" t="n">
        <v>10</v>
      </c>
      <c r="H52" s="12">
        <f>IF(IF(J52&lt;&gt;"",IF(L52&lt;&gt;"",L52,F52),F52)="정률법",VLOOKUP(IF(J52&lt;&gt;"",K52,G52),'상각률표(별표4)'!$A$2:$C$60,3,FALSE),IF(IF(J52&lt;&gt;"",IF(L52&lt;&gt;"",L52,F52),F52)="생산량비례법","-",IF(IF(J52&lt;&gt;"",IF(L52&lt;&gt;"",L52,F52),F52)="이중체감법",2/IF(J52&lt;&gt;"",K52,G52),IF(IF(J52&lt;&gt;"",IF(L52&lt;&gt;"",L52,F52),F52)="연수합계법",(IF(J52&lt;&gt;"",K52,G52)-('기준정보'!$E$3-YEAR(IF(J52&lt;&gt;"",J52,C52))+1)+1)/(IF(J52&lt;&gt;"",K52,G52)*(IF(J52&lt;&gt;"",K52,G52)+1)/2),12/W52))))</f>
        <v/>
      </c>
      <c r="I52" s="4" t="inlineStr"/>
      <c r="J52" s="4" t="inlineStr"/>
      <c r="K52" t="inlineStr"/>
      <c r="L52" t="inlineStr"/>
      <c r="M52" s="6" t="inlineStr"/>
      <c r="N52" s="6" t="inlineStr"/>
      <c r="O52" s="6" t="inlineStr"/>
      <c r="P52" s="6">
        <f>IF(OR(O52="",N52=""),"",O52+N52)</f>
        <v/>
      </c>
      <c r="Q52" s="4" t="n">
        <v>44927</v>
      </c>
      <c r="R52" s="6" t="n">
        <v>2000000</v>
      </c>
      <c r="S52" s="4" t="inlineStr"/>
      <c r="T52" s="4" t="inlineStr"/>
      <c r="U52">
        <f>(YEAR('기준정보'!$E$2)-YEAR(C52))*12+MONTH('기준정보'!$E$2)-MONTH(C52)+1</f>
        <v/>
      </c>
      <c r="V52" t="n">
        <v>12</v>
      </c>
      <c r="W52" t="n">
        <v>84</v>
      </c>
      <c r="X52" s="6" t="n">
        <v>9000000</v>
      </c>
      <c r="Y52" s="6">
        <f>X52-E52</f>
        <v/>
      </c>
      <c r="Z52" s="6" t="n">
        <v>6428571.428571429</v>
      </c>
      <c r="AA52" t="inlineStr">
        <is>
          <t>-</t>
        </is>
      </c>
      <c r="AB52" t="inlineStr">
        <is>
          <t>자본적지출(2023-01-01→2,000,000원)</t>
        </is>
      </c>
      <c r="AC52" s="6" t="n">
        <v>1285714</v>
      </c>
      <c r="AD52" s="6">
        <f>IF(IF(J52&lt;&gt;"",IF(L52&lt;&gt;"",L52,F52),F52)="생산량비례법",(D52-E52)*N52/M52,IF(IF(J52&lt;&gt;"",IF(L52&lt;&gt;"",L52,F52),F52)="정률법",IF(X52-X52*H52*V52/12&lt;=(D52+IF(R52&lt;&gt;"",R52,0))*0.05,Y52,X52*H52*V52/12),IF(IF(J52&lt;&gt;"",IF(L52&lt;&gt;"",L52,F52),F52)="이중체감법",IF(X52-X52*H52*V52/12&lt;=E52,Y52,X52*H52*V52/12),Y52*H52*V52/12)))</f>
        <v/>
      </c>
      <c r="AE52" s="6">
        <f>AD52-AC52</f>
        <v/>
      </c>
      <c r="AF52" s="6" t="n">
        <v>5121428</v>
      </c>
      <c r="AG52" s="6">
        <f>IF(F52="생산량비례법",IF(O52&lt;&gt;"",(D52-E52)*O52/M52,""),(D52+IF(AND(R52&lt;&gt;"",Q52&lt;='기준정보'!$E$4),R52,0))-Z52)</f>
        <v/>
      </c>
      <c r="AH52" s="6">
        <f>AG52-AF52</f>
        <v/>
      </c>
      <c r="AI52" s="6">
        <f>IF(AF52="","",AF52+AC52)</f>
        <v/>
      </c>
      <c r="AJ52" s="6">
        <f>IF(AG52="","",AG52+AD52)</f>
        <v/>
      </c>
      <c r="AK52" s="6">
        <f>AJ52-AI52</f>
        <v/>
      </c>
      <c r="AL52" t="inlineStr">
        <is>
          <t>경미한 차이</t>
        </is>
      </c>
      <c r="AM52" t="inlineStr">
        <is>
          <t>-</t>
        </is>
      </c>
      <c r="AN52" t="inlineStr">
        <is>
          <t>-</t>
        </is>
      </c>
    </row>
    <row r="53">
      <c r="A53" t="inlineStr">
        <is>
          <t>자본적지출_정액_당기초_01</t>
        </is>
      </c>
      <c r="B53" t="inlineStr">
        <is>
          <t>유형자산</t>
        </is>
      </c>
      <c r="C53" s="4" t="n">
        <v>43466</v>
      </c>
      <c r="D53" s="6" t="n">
        <v>8000000</v>
      </c>
      <c r="E53" s="6" t="n">
        <v>0</v>
      </c>
      <c r="F53" t="inlineStr">
        <is>
          <t>정액법</t>
        </is>
      </c>
      <c r="G53" t="n">
        <v>8</v>
      </c>
      <c r="H53" s="12">
        <f>IF(IF(J53&lt;&gt;"",IF(L53&lt;&gt;"",L53,F53),F53)="정률법",VLOOKUP(IF(J53&lt;&gt;"",K53,G53),'상각률표(별표4)'!$A$2:$C$60,3,FALSE),IF(IF(J53&lt;&gt;"",IF(L53&lt;&gt;"",L53,F53),F53)="생산량비례법","-",IF(IF(J53&lt;&gt;"",IF(L53&lt;&gt;"",L53,F53),F53)="이중체감법",2/IF(J53&lt;&gt;"",K53,G53),IF(IF(J53&lt;&gt;"",IF(L53&lt;&gt;"",L53,F53),F53)="연수합계법",(IF(J53&lt;&gt;"",K53,G53)-('기준정보'!$E$3-YEAR(IF(J53&lt;&gt;"",J53,C53))+1)+1)/(IF(J53&lt;&gt;"",K53,G53)*(IF(J53&lt;&gt;"",K53,G53)+1)/2),12/W53))))</f>
        <v/>
      </c>
      <c r="I53" s="4" t="inlineStr"/>
      <c r="J53" s="4" t="inlineStr"/>
      <c r="K53" t="inlineStr"/>
      <c r="L53" t="inlineStr"/>
      <c r="M53" s="6" t="inlineStr"/>
      <c r="N53" s="6" t="inlineStr"/>
      <c r="O53" s="6" t="inlineStr"/>
      <c r="P53" s="6">
        <f>IF(OR(O53="",N53=""),"",O53+N53)</f>
        <v/>
      </c>
      <c r="Q53" s="4" t="n">
        <v>45658</v>
      </c>
      <c r="R53" s="6" t="n">
        <v>1500000</v>
      </c>
      <c r="S53" s="4" t="inlineStr"/>
      <c r="T53" s="4" t="inlineStr"/>
      <c r="U53">
        <f>(YEAR('기준정보'!$E$2)-YEAR(C53))*12+MONTH('기준정보'!$E$2)-MONTH(C53)+1</f>
        <v/>
      </c>
      <c r="V53" t="n">
        <v>12</v>
      </c>
      <c r="W53" t="n">
        <v>24</v>
      </c>
      <c r="X53" s="6" t="n">
        <v>3500000</v>
      </c>
      <c r="Y53" s="6">
        <f>X53-E53</f>
        <v/>
      </c>
      <c r="Z53" s="6" t="n">
        <v>2000000</v>
      </c>
      <c r="AA53" t="inlineStr">
        <is>
          <t>-</t>
        </is>
      </c>
      <c r="AB53" t="inlineStr">
        <is>
          <t>자본적지출(2025-01-01→1,500,000원)</t>
        </is>
      </c>
      <c r="AC53" s="6" t="n">
        <v>1750000</v>
      </c>
      <c r="AD53" s="6">
        <f>IF(IF(J53&lt;&gt;"",IF(L53&lt;&gt;"",L53,F53),F53)="생산량비례법",(D53-E53)*N53/M53,IF(IF(J53&lt;&gt;"",IF(L53&lt;&gt;"",L53,F53),F53)="정률법",IF(X53-X53*H53*V53/12&lt;=(D53+IF(R53&lt;&gt;"",R53,0))*0.05,Y53,X53*H53*V53/12),IF(IF(J53&lt;&gt;"",IF(L53&lt;&gt;"",L53,F53),F53)="이중체감법",IF(X53-X53*H53*V53/12&lt;=E53,Y53,X53*H53*V53/12),Y53*H53*V53/12)))</f>
        <v/>
      </c>
      <c r="AE53" s="6">
        <f>AD53-AC53</f>
        <v/>
      </c>
      <c r="AF53" s="6" t="n">
        <v>6000000</v>
      </c>
      <c r="AG53" s="6">
        <f>IF(F53="생산량비례법",IF(O53&lt;&gt;"",(D53-E53)*O53/M53,""),(D53+IF(AND(R53&lt;&gt;"",Q53&lt;='기준정보'!$E$4),R53,0))-Z53)</f>
        <v/>
      </c>
      <c r="AH53" s="6">
        <f>AG53-AF53</f>
        <v/>
      </c>
      <c r="AI53" s="6">
        <f>IF(AF53="","",AF53+AC53)</f>
        <v/>
      </c>
      <c r="AJ53" s="6">
        <f>IF(AG53="","",AG53+AD53)</f>
        <v/>
      </c>
      <c r="AK53" s="6">
        <f>AJ53-AI53</f>
        <v/>
      </c>
      <c r="AL53" t="inlineStr">
        <is>
          <t>경미한 차이</t>
        </is>
      </c>
      <c r="AM53" t="inlineStr">
        <is>
          <t>-</t>
        </is>
      </c>
      <c r="AN53" t="inlineStr">
        <is>
          <t>-</t>
        </is>
      </c>
    </row>
    <row r="54">
      <c r="A54" t="inlineStr">
        <is>
          <t>자본적지출_정액_당기중_01</t>
        </is>
      </c>
      <c r="B54" t="inlineStr">
        <is>
          <t>무형자산</t>
        </is>
      </c>
      <c r="C54" s="4" t="n">
        <v>44197</v>
      </c>
      <c r="D54" s="6" t="n">
        <v>9000000</v>
      </c>
      <c r="E54" s="6" t="n">
        <v>0</v>
      </c>
      <c r="F54" t="inlineStr">
        <is>
          <t>정액법</t>
        </is>
      </c>
      <c r="G54" t="n">
        <v>6</v>
      </c>
      <c r="H54" s="12">
        <f>IF(IF(J54&lt;&gt;"",IF(L54&lt;&gt;"",L54,F54),F54)="정률법",VLOOKUP(IF(J54&lt;&gt;"",K54,G54),'상각률표(별표4)'!$A$2:$C$60,3,FALSE),IF(IF(J54&lt;&gt;"",IF(L54&lt;&gt;"",L54,F54),F54)="생산량비례법","-",IF(IF(J54&lt;&gt;"",IF(L54&lt;&gt;"",L54,F54),F54)="이중체감법",2/IF(J54&lt;&gt;"",K54,G54),IF(IF(J54&lt;&gt;"",IF(L54&lt;&gt;"",L54,F54),F54)="연수합계법",(IF(J54&lt;&gt;"",K54,G54)-('기준정보'!$E$3-YEAR(IF(J54&lt;&gt;"",J54,C54))+1)+1)/(IF(J54&lt;&gt;"",K54,G54)*(IF(J54&lt;&gt;"",K54,G54)+1)/2),12/W54))))</f>
        <v/>
      </c>
      <c r="I54" s="4" t="inlineStr"/>
      <c r="J54" s="4" t="inlineStr"/>
      <c r="K54" t="inlineStr"/>
      <c r="L54" t="inlineStr"/>
      <c r="M54" s="6" t="inlineStr"/>
      <c r="N54" s="6" t="inlineStr"/>
      <c r="O54" s="6" t="inlineStr"/>
      <c r="P54" s="6">
        <f>IF(OR(O54="",N54=""),"",O54+N54)</f>
        <v/>
      </c>
      <c r="Q54" s="4" t="n">
        <v>45809</v>
      </c>
      <c r="R54" s="6" t="n">
        <v>1000000</v>
      </c>
      <c r="S54" s="4" t="inlineStr"/>
      <c r="T54" s="4" t="inlineStr"/>
      <c r="U54">
        <f>(YEAR('기준정보'!$E$2)-YEAR(C54))*12+MONTH('기준정보'!$E$2)-MONTH(C54)+1</f>
        <v/>
      </c>
      <c r="V54" t="n">
        <v>12</v>
      </c>
      <c r="W54" t="n">
        <v>72</v>
      </c>
      <c r="X54" s="6" t="n">
        <v>9000000</v>
      </c>
      <c r="Y54" s="6">
        <f>X54-E54</f>
        <v/>
      </c>
      <c r="Z54" s="6" t="n">
        <v>3000000</v>
      </c>
      <c r="AA54" t="inlineStr">
        <is>
          <t>-</t>
        </is>
      </c>
      <c r="AB54" t="inlineStr">
        <is>
          <t>자본적지출(2025-06-01→1,000,000원)</t>
        </is>
      </c>
      <c r="AC54" s="6" t="n">
        <v>1868421</v>
      </c>
      <c r="AD54" s="6" t="n">
        <v>1868421</v>
      </c>
      <c r="AE54" s="6">
        <f>AD54-AC54</f>
        <v/>
      </c>
      <c r="AF54" s="6" t="n">
        <v>6000000</v>
      </c>
      <c r="AG54" s="6">
        <f>IF(F54="생산량비례법",IF(O54&lt;&gt;"",(D54-E54)*O54/M54,""),(D54+IF(AND(R54&lt;&gt;"",Q54&lt;='기준정보'!$E$4),R54,0))-Z54)</f>
        <v/>
      </c>
      <c r="AH54" s="6">
        <f>AG54-AF54</f>
        <v/>
      </c>
      <c r="AI54" s="6">
        <f>IF(AF54="","",AF54+AC54)</f>
        <v/>
      </c>
      <c r="AJ54" s="6">
        <f>IF(AG54="","",AG54+AD54)</f>
        <v/>
      </c>
      <c r="AK54" s="6">
        <f>AJ54-AI54</f>
        <v/>
      </c>
      <c r="AL54" t="inlineStr">
        <is>
          <t>경미한 차이</t>
        </is>
      </c>
      <c r="AM54" t="inlineStr">
        <is>
          <t>-</t>
        </is>
      </c>
      <c r="AN54" t="inlineStr">
        <is>
          <t>-</t>
        </is>
      </c>
    </row>
    <row r="55">
      <c r="A55" t="inlineStr">
        <is>
          <t>자본적지출_정액_당기말_01</t>
        </is>
      </c>
      <c r="B55" t="inlineStr">
        <is>
          <t>유형자산</t>
        </is>
      </c>
      <c r="C55" s="4" t="n">
        <v>44562</v>
      </c>
      <c r="D55" s="6" t="n">
        <v>7000000</v>
      </c>
      <c r="E55" s="6" t="n">
        <v>0</v>
      </c>
      <c r="F55" t="inlineStr">
        <is>
          <t>정액법</t>
        </is>
      </c>
      <c r="G55" t="n">
        <v>5</v>
      </c>
      <c r="H55" s="12">
        <f>IF(IF(J55&lt;&gt;"",IF(L55&lt;&gt;"",L55,F55),F55)="정률법",VLOOKUP(IF(J55&lt;&gt;"",K55,G55),'상각률표(별표4)'!$A$2:$C$60,3,FALSE),IF(IF(J55&lt;&gt;"",IF(L55&lt;&gt;"",L55,F55),F55)="생산량비례법","-",IF(IF(J55&lt;&gt;"",IF(L55&lt;&gt;"",L55,F55),F55)="이중체감법",2/IF(J55&lt;&gt;"",K55,G55),IF(IF(J55&lt;&gt;"",IF(L55&lt;&gt;"",L55,F55),F55)="연수합계법",(IF(J55&lt;&gt;"",K55,G55)-('기준정보'!$E$3-YEAR(IF(J55&lt;&gt;"",J55,C55))+1)+1)/(IF(J55&lt;&gt;"",K55,G55)*(IF(J55&lt;&gt;"",K55,G55)+1)/2),12/W55))))</f>
        <v/>
      </c>
      <c r="I55" s="4" t="inlineStr"/>
      <c r="J55" s="4" t="inlineStr"/>
      <c r="K55" t="inlineStr"/>
      <c r="L55" t="inlineStr"/>
      <c r="M55" s="6" t="inlineStr"/>
      <c r="N55" s="6" t="inlineStr"/>
      <c r="O55" s="6" t="inlineStr"/>
      <c r="P55" s="6">
        <f>IF(OR(O55="",N55=""),"",O55+N55)</f>
        <v/>
      </c>
      <c r="Q55" s="4" t="n">
        <v>45992</v>
      </c>
      <c r="R55" s="6" t="n">
        <v>800000</v>
      </c>
      <c r="S55" s="4" t="inlineStr"/>
      <c r="T55" s="4" t="inlineStr"/>
      <c r="U55">
        <f>(YEAR('기준정보'!$E$2)-YEAR(C55))*12+MONTH('기준정보'!$E$2)-MONTH(C55)+1</f>
        <v/>
      </c>
      <c r="V55" t="n">
        <v>12</v>
      </c>
      <c r="W55" t="n">
        <v>60</v>
      </c>
      <c r="X55" s="6" t="n">
        <v>7000000</v>
      </c>
      <c r="Y55" s="6">
        <f>X55-E55</f>
        <v/>
      </c>
      <c r="Z55" s="6" t="n">
        <v>2800000</v>
      </c>
      <c r="AA55" t="inlineStr">
        <is>
          <t>-</t>
        </is>
      </c>
      <c r="AB55" t="inlineStr">
        <is>
          <t>자본적지출(2025-12-01→800,000원)</t>
        </is>
      </c>
      <c r="AC55" s="6" t="n">
        <v>1461538</v>
      </c>
      <c r="AD55" s="6" t="n">
        <v>1461538</v>
      </c>
      <c r="AE55" s="6">
        <f>AD55-AC55</f>
        <v/>
      </c>
      <c r="AF55" s="6" t="n">
        <v>4200000</v>
      </c>
      <c r="AG55" s="6">
        <f>IF(F55="생산량비례법",IF(O55&lt;&gt;"",(D55-E55)*O55/M55,""),(D55+IF(AND(R55&lt;&gt;"",Q55&lt;='기준정보'!$E$4),R55,0))-Z55)</f>
        <v/>
      </c>
      <c r="AH55" s="6">
        <f>AG55-AF55</f>
        <v/>
      </c>
      <c r="AI55" s="6">
        <f>IF(AF55="","",AF55+AC55)</f>
        <v/>
      </c>
      <c r="AJ55" s="6">
        <f>IF(AG55="","",AG55+AD55)</f>
        <v/>
      </c>
      <c r="AK55" s="6">
        <f>AJ55-AI55</f>
        <v/>
      </c>
      <c r="AL55" t="inlineStr">
        <is>
          <t>경미한 차이</t>
        </is>
      </c>
      <c r="AM55" t="inlineStr">
        <is>
          <t>-</t>
        </is>
      </c>
      <c r="AN55" t="inlineStr">
        <is>
          <t>-</t>
        </is>
      </c>
    </row>
    <row r="56">
      <c r="A56" t="inlineStr">
        <is>
          <t>자본적지출_정률_전기_01</t>
        </is>
      </c>
      <c r="B56" t="inlineStr">
        <is>
          <t>유형자산</t>
        </is>
      </c>
      <c r="C56" s="4" t="n">
        <v>43831</v>
      </c>
      <c r="D56" s="6" t="n">
        <v>14000000</v>
      </c>
      <c r="E56" s="6" t="n">
        <v>0</v>
      </c>
      <c r="F56" t="inlineStr">
        <is>
          <t>정률법</t>
        </is>
      </c>
      <c r="G56" t="n">
        <v>10</v>
      </c>
      <c r="H56" s="12">
        <f>IF(IF(J56&lt;&gt;"",IF(L56&lt;&gt;"",L56,F56),F56)="정률법",VLOOKUP(IF(J56&lt;&gt;"",K56,G56),'상각률표(별표4)'!$A$2:$C$60,3,FALSE),IF(IF(J56&lt;&gt;"",IF(L56&lt;&gt;"",L56,F56),F56)="생산량비례법","-",IF(IF(J56&lt;&gt;"",IF(L56&lt;&gt;"",L56,F56),F56)="이중체감법",2/IF(J56&lt;&gt;"",K56,G56),IF(IF(J56&lt;&gt;"",IF(L56&lt;&gt;"",L56,F56),F56)="연수합계법",(IF(J56&lt;&gt;"",K56,G56)-('기준정보'!$E$3-YEAR(IF(J56&lt;&gt;"",J56,C56))+1)+1)/(IF(J56&lt;&gt;"",K56,G56)*(IF(J56&lt;&gt;"",K56,G56)+1)/2),12/W56))))</f>
        <v/>
      </c>
      <c r="I56" s="4" t="inlineStr"/>
      <c r="J56" s="4" t="inlineStr"/>
      <c r="K56" t="inlineStr"/>
      <c r="L56" t="inlineStr"/>
      <c r="M56" s="6" t="inlineStr"/>
      <c r="N56" s="6" t="inlineStr"/>
      <c r="O56" s="6" t="inlineStr"/>
      <c r="P56" s="6">
        <f>IF(OR(O56="",N56=""),"",O56+N56)</f>
        <v/>
      </c>
      <c r="Q56" s="4" t="n">
        <v>44927</v>
      </c>
      <c r="R56" s="6" t="n">
        <v>2500000</v>
      </c>
      <c r="S56" s="4" t="inlineStr"/>
      <c r="T56" s="4" t="inlineStr"/>
      <c r="U56">
        <f>(YEAR('기준정보'!$E$2)-YEAR(C56))*12+MONTH('기준정보'!$E$2)-MONTH(C56)+1</f>
        <v/>
      </c>
      <c r="V56" t="n">
        <v>12</v>
      </c>
      <c r="W56" t="n">
        <v>84</v>
      </c>
      <c r="X56" s="6" t="n">
        <v>4500359.184875813</v>
      </c>
      <c r="Y56" s="6">
        <f>X56-E56</f>
        <v/>
      </c>
      <c r="Z56" s="6" t="n">
        <v>4500359.184875813</v>
      </c>
      <c r="AA56" t="inlineStr">
        <is>
          <t>-</t>
        </is>
      </c>
      <c r="AB56" t="inlineStr">
        <is>
          <t>자본적지출(2023-01-01→2,500,000원)</t>
        </is>
      </c>
      <c r="AC56" s="6" t="n">
        <v>1165593</v>
      </c>
      <c r="AD56" s="6">
        <f>IF(IF(J56&lt;&gt;"",IF(L56&lt;&gt;"",L56,F56),F56)="생산량비례법",(D56-E56)*N56/M56,IF(IF(J56&lt;&gt;"",IF(L56&lt;&gt;"",L56,F56),F56)="정률법",IF(X56-X56*H56*V56/12&lt;=(D56+IF(R56&lt;&gt;"",R56,0))*0.05,Y56,X56*H56*V56/12),IF(IF(J56&lt;&gt;"",IF(L56&lt;&gt;"",L56,F56),F56)="이중체감법",IF(X56-X56*H56*V56/12&lt;=E56,Y56,X56*H56*V56/12),Y56*H56*V56/12)))</f>
        <v/>
      </c>
      <c r="AE56" s="6">
        <f>AD56-AC56</f>
        <v/>
      </c>
      <c r="AF56" s="6" t="n">
        <v>11999641</v>
      </c>
      <c r="AG56" s="6">
        <f>IF(F56="생산량비례법",IF(O56&lt;&gt;"",(D56-E56)*O56/M56,""),(D56+IF(AND(R56&lt;&gt;"",Q56&lt;='기준정보'!$E$4),R56,0))-Z56)</f>
        <v/>
      </c>
      <c r="AH56" s="6">
        <f>AG56-AF56</f>
        <v/>
      </c>
      <c r="AI56" s="6">
        <f>IF(AF56="","",AF56+AC56)</f>
        <v/>
      </c>
      <c r="AJ56" s="6">
        <f>IF(AG56="","",AG56+AD56)</f>
        <v/>
      </c>
      <c r="AK56" s="6">
        <f>AJ56-AI56</f>
        <v/>
      </c>
      <c r="AL56" t="inlineStr">
        <is>
          <t>경미한 차이</t>
        </is>
      </c>
      <c r="AM56" t="inlineStr">
        <is>
          <t>-</t>
        </is>
      </c>
      <c r="AN56" t="inlineStr">
        <is>
          <t>-</t>
        </is>
      </c>
    </row>
    <row r="57">
      <c r="A57" t="inlineStr">
        <is>
          <t>자본적지출_정률_당기초_01</t>
        </is>
      </c>
      <c r="B57" t="inlineStr">
        <is>
          <t>유형자산</t>
        </is>
      </c>
      <c r="C57" s="4" t="n">
        <v>43466</v>
      </c>
      <c r="D57" s="6" t="n">
        <v>11000000</v>
      </c>
      <c r="E57" s="6" t="n">
        <v>0</v>
      </c>
      <c r="F57" t="inlineStr">
        <is>
          <t>정률법</t>
        </is>
      </c>
      <c r="G57" t="n">
        <v>8</v>
      </c>
      <c r="H57" s="12">
        <f>IF(IF(J57&lt;&gt;"",IF(L57&lt;&gt;"",L57,F57),F57)="정률법",VLOOKUP(IF(J57&lt;&gt;"",K57,G57),'상각률표(별표4)'!$A$2:$C$60,3,FALSE),IF(IF(J57&lt;&gt;"",IF(L57&lt;&gt;"",L57,F57),F57)="생산량비례법","-",IF(IF(J57&lt;&gt;"",IF(L57&lt;&gt;"",L57,F57),F57)="이중체감법",2/IF(J57&lt;&gt;"",K57,G57),IF(IF(J57&lt;&gt;"",IF(L57&lt;&gt;"",L57,F57),F57)="연수합계법",(IF(J57&lt;&gt;"",K57,G57)-('기준정보'!$E$3-YEAR(IF(J57&lt;&gt;"",J57,C57))+1)+1)/(IF(J57&lt;&gt;"",K57,G57)*(IF(J57&lt;&gt;"",K57,G57)+1)/2),12/W57))))</f>
        <v/>
      </c>
      <c r="I57" s="4" t="inlineStr"/>
      <c r="J57" s="4" t="inlineStr"/>
      <c r="K57" t="inlineStr"/>
      <c r="L57" t="inlineStr"/>
      <c r="M57" s="6" t="inlineStr"/>
      <c r="N57" s="6" t="inlineStr"/>
      <c r="O57" s="6" t="inlineStr"/>
      <c r="P57" s="6">
        <f>IF(OR(O57="",N57=""),"",O57+N57)</f>
        <v/>
      </c>
      <c r="Q57" s="4" t="n">
        <v>45658</v>
      </c>
      <c r="R57" s="6" t="n">
        <v>1800000</v>
      </c>
      <c r="S57" s="4" t="inlineStr"/>
      <c r="T57" s="4" t="inlineStr"/>
      <c r="U57">
        <f>(YEAR('기준정보'!$E$2)-YEAR(C57))*12+MONTH('기준정보'!$E$2)-MONTH(C57)+1</f>
        <v/>
      </c>
      <c r="V57" t="n">
        <v>12</v>
      </c>
      <c r="W57" t="n">
        <v>24</v>
      </c>
      <c r="X57" s="6" t="n">
        <v>2956466.634936208</v>
      </c>
      <c r="Y57" s="6">
        <f>X57-E57</f>
        <v/>
      </c>
      <c r="Z57" s="6" t="n">
        <v>1156466.634936208</v>
      </c>
      <c r="AA57" t="inlineStr">
        <is>
          <t>-</t>
        </is>
      </c>
      <c r="AB57" t="inlineStr">
        <is>
          <t>자본적지출(2025-01-01→1,800,000원)</t>
        </is>
      </c>
      <c r="AC57" s="6" t="n">
        <v>925374</v>
      </c>
      <c r="AD57" s="6">
        <f>IF(IF(J57&lt;&gt;"",IF(L57&lt;&gt;"",L57,F57),F57)="생산량비례법",(D57-E57)*N57/M57,IF(IF(J57&lt;&gt;"",IF(L57&lt;&gt;"",L57,F57),F57)="정률법",IF(X57-X57*H57*V57/12&lt;=(D57+IF(R57&lt;&gt;"",R57,0))*0.05,Y57,X57*H57*V57/12),IF(IF(J57&lt;&gt;"",IF(L57&lt;&gt;"",L57,F57),F57)="이중체감법",IF(X57-X57*H57*V57/12&lt;=E57,Y57,X57*H57*V57/12),Y57*H57*V57/12)))</f>
        <v/>
      </c>
      <c r="AE57" s="6">
        <f>AD57-AC57</f>
        <v/>
      </c>
      <c r="AF57" s="6" t="n">
        <v>9843534</v>
      </c>
      <c r="AG57" s="6">
        <f>IF(F57="생산량비례법",IF(O57&lt;&gt;"",(D57-E57)*O57/M57,""),(D57+IF(AND(R57&lt;&gt;"",Q57&lt;='기준정보'!$E$4),R57,0))-Z57)</f>
        <v/>
      </c>
      <c r="AH57" s="6">
        <f>AG57-AF57</f>
        <v/>
      </c>
      <c r="AI57" s="6">
        <f>IF(AF57="","",AF57+AC57)</f>
        <v/>
      </c>
      <c r="AJ57" s="6">
        <f>IF(AG57="","",AG57+AD57)</f>
        <v/>
      </c>
      <c r="AK57" s="6">
        <f>AJ57-AI57</f>
        <v/>
      </c>
      <c r="AL57" t="inlineStr">
        <is>
          <t>경미한 차이</t>
        </is>
      </c>
      <c r="AM57" t="inlineStr">
        <is>
          <t>-</t>
        </is>
      </c>
      <c r="AN57" t="inlineStr">
        <is>
          <t>-</t>
        </is>
      </c>
    </row>
    <row r="58">
      <c r="A58" s="13" t="inlineStr">
        <is>
          <t>자본적지출_정률_당기중_01</t>
        </is>
      </c>
      <c r="B58" s="13" t="inlineStr">
        <is>
          <t>무형자산</t>
        </is>
      </c>
      <c r="C58" s="14" t="n">
        <v>44197</v>
      </c>
      <c r="D58" s="15" t="n">
        <v>12000000</v>
      </c>
      <c r="E58" s="15" t="n">
        <v>0</v>
      </c>
      <c r="F58" s="13" t="inlineStr">
        <is>
          <t>정률법</t>
        </is>
      </c>
      <c r="G58" s="13" t="n">
        <v>9</v>
      </c>
      <c r="H58" s="16">
        <f>IF(IF(J58&lt;&gt;"",IF(L58&lt;&gt;"",L58,F58),F58)="정률법",VLOOKUP(IF(J58&lt;&gt;"",K58,G58),'상각률표(별표4)'!$A$2:$C$60,3,FALSE),IF(IF(J58&lt;&gt;"",IF(L58&lt;&gt;"",L58,F58),F58)="생산량비례법","-",IF(IF(J58&lt;&gt;"",IF(L58&lt;&gt;"",L58,F58),F58)="이중체감법",2/IF(J58&lt;&gt;"",K58,G58),IF(IF(J58&lt;&gt;"",IF(L58&lt;&gt;"",L58,F58),F58)="연수합계법",(IF(J58&lt;&gt;"",K58,G58)-('기준정보'!$E$3-YEAR(IF(J58&lt;&gt;"",J58,C58))+1)+1)/(IF(J58&lt;&gt;"",K58,G58)*(IF(J58&lt;&gt;"",K58,G58)+1)/2),12/W58))))</f>
        <v/>
      </c>
      <c r="I58" s="14" t="inlineStr"/>
      <c r="J58" s="14" t="inlineStr"/>
      <c r="K58" s="13" t="inlineStr"/>
      <c r="L58" s="13" t="inlineStr"/>
      <c r="M58" s="15" t="inlineStr"/>
      <c r="N58" s="15" t="inlineStr"/>
      <c r="O58" s="15" t="inlineStr"/>
      <c r="P58" s="15">
        <f>IF(OR(O58="",N58=""),"",O58+N58)</f>
        <v/>
      </c>
      <c r="Q58" s="14" t="n">
        <v>45839</v>
      </c>
      <c r="R58" s="15" t="n">
        <v>1200000</v>
      </c>
      <c r="S58" s="14" t="inlineStr"/>
      <c r="T58" s="14" t="inlineStr"/>
      <c r="U58" s="13">
        <f>(YEAR('기준정보'!$E$2)-YEAR(C58))*12+MONTH('기준정보'!$E$2)-MONTH(C58)+1</f>
        <v/>
      </c>
      <c r="V58" s="13" t="n">
        <v>12</v>
      </c>
      <c r="W58" s="13" t="n">
        <v>108</v>
      </c>
      <c r="X58" s="15" t="n">
        <v>3153794.092032</v>
      </c>
      <c r="Y58" s="15">
        <f>X58-E58</f>
        <v/>
      </c>
      <c r="Z58" s="15" t="n">
        <v>3153794.092032</v>
      </c>
      <c r="AA58" s="13" t="inlineStr">
        <is>
          <t>-</t>
        </is>
      </c>
      <c r="AB58" s="13" t="inlineStr">
        <is>
          <t>자본적지출(2025-07-01→1,200,000원)</t>
        </is>
      </c>
      <c r="AC58" s="15" t="n">
        <v>1252484</v>
      </c>
      <c r="AD58" s="15" t="n">
        <v>1002484</v>
      </c>
      <c r="AE58" s="15">
        <f>AD58-AC58</f>
        <v/>
      </c>
      <c r="AF58" s="15" t="n">
        <v>8846206</v>
      </c>
      <c r="AG58" s="15">
        <f>IF(F58="생산량비례법",IF(O58&lt;&gt;"",(D58-E58)*O58/M58,""),(D58+IF(AND(R58&lt;&gt;"",Q58&lt;='기준정보'!$E$4),R58,0))-Z58)</f>
        <v/>
      </c>
      <c r="AH58" s="15">
        <f>AG58-AF58</f>
        <v/>
      </c>
      <c r="AI58" s="15">
        <f>IF(AF58="","",AF58+AC58)</f>
        <v/>
      </c>
      <c r="AJ58" s="15">
        <f>IF(AG58="","",AG58+AD58)</f>
        <v/>
      </c>
      <c r="AK58" s="15">
        <f>AJ58-AI58</f>
        <v/>
      </c>
      <c r="AL58" s="13" t="inlineStr">
        <is>
          <t>경미한 차이</t>
        </is>
      </c>
      <c r="AM58" s="13" t="inlineStr">
        <is>
          <t>자본적지출 반영 오류 추정(지출액 가산 또는 잔여내용연수 재상각 미반영 가능성)</t>
        </is>
      </c>
      <c r="AN58" s="13" t="inlineStr">
        <is>
          <t>규칙</t>
        </is>
      </c>
    </row>
    <row r="59">
      <c r="A59" t="inlineStr">
        <is>
          <t>자본적지출_정률_당기말_01</t>
        </is>
      </c>
      <c r="B59" t="inlineStr">
        <is>
          <t>유형자산</t>
        </is>
      </c>
      <c r="C59" s="4" t="n">
        <v>44562</v>
      </c>
      <c r="D59" s="6" t="n">
        <v>9500000</v>
      </c>
      <c r="E59" s="6" t="n">
        <v>0</v>
      </c>
      <c r="F59" t="inlineStr">
        <is>
          <t>정률법</t>
        </is>
      </c>
      <c r="G59" t="n">
        <v>6</v>
      </c>
      <c r="H59" s="12">
        <f>IF(IF(J59&lt;&gt;"",IF(L59&lt;&gt;"",L59,F59),F59)="정률법",VLOOKUP(IF(J59&lt;&gt;"",K59,G59),'상각률표(별표4)'!$A$2:$C$60,3,FALSE),IF(IF(J59&lt;&gt;"",IF(L59&lt;&gt;"",L59,F59),F59)="생산량비례법","-",IF(IF(J59&lt;&gt;"",IF(L59&lt;&gt;"",L59,F59),F59)="이중체감법",2/IF(J59&lt;&gt;"",K59,G59),IF(IF(J59&lt;&gt;"",IF(L59&lt;&gt;"",L59,F59),F59)="연수합계법",(IF(J59&lt;&gt;"",K59,G59)-('기준정보'!$E$3-YEAR(IF(J59&lt;&gt;"",J59,C59))+1)+1)/(IF(J59&lt;&gt;"",K59,G59)*(IF(J59&lt;&gt;"",K59,G59)+1)/2),12/W59))))</f>
        <v/>
      </c>
      <c r="I59" s="4" t="inlineStr"/>
      <c r="J59" s="4" t="inlineStr"/>
      <c r="K59" t="inlineStr"/>
      <c r="L59" t="inlineStr"/>
      <c r="M59" s="6" t="inlineStr"/>
      <c r="N59" s="6" t="inlineStr"/>
      <c r="O59" s="6" t="inlineStr"/>
      <c r="P59" s="6">
        <f>IF(OR(O59="",N59=""),"",O59+N59)</f>
        <v/>
      </c>
      <c r="Q59" s="4" t="n">
        <v>45962</v>
      </c>
      <c r="R59" s="6" t="n">
        <v>900000</v>
      </c>
      <c r="S59" s="4" t="inlineStr"/>
      <c r="T59" s="4" t="inlineStr"/>
      <c r="U59">
        <f>(YEAR('기준정보'!$E$2)-YEAR(C59))*12+MONTH('기준정보'!$E$2)-MONTH(C59)+1</f>
        <v/>
      </c>
      <c r="V59" t="n">
        <v>12</v>
      </c>
      <c r="W59" t="n">
        <v>72</v>
      </c>
      <c r="X59" s="6" t="n">
        <v>2114177.652</v>
      </c>
      <c r="Y59" s="6">
        <f>X59-E59</f>
        <v/>
      </c>
      <c r="Z59" s="6" t="n">
        <v>2114177.652</v>
      </c>
      <c r="AA59" t="inlineStr">
        <is>
          <t>-</t>
        </is>
      </c>
      <c r="AB59" t="inlineStr">
        <is>
          <t>자본적지출(2025-11-01→900,000원)</t>
        </is>
      </c>
      <c r="AC59" s="6" t="n">
        <v>846503</v>
      </c>
      <c r="AD59" s="6" t="n">
        <v>846503</v>
      </c>
      <c r="AE59" s="6">
        <f>AD59-AC59</f>
        <v/>
      </c>
      <c r="AF59" s="6" t="n">
        <v>7385822</v>
      </c>
      <c r="AG59" s="6">
        <f>IF(F59="생산량비례법",IF(O59&lt;&gt;"",(D59-E59)*O59/M59,""),(D59+IF(AND(R59&lt;&gt;"",Q59&lt;='기준정보'!$E$4),R59,0))-Z59)</f>
        <v/>
      </c>
      <c r="AH59" s="6">
        <f>AG59-AF59</f>
        <v/>
      </c>
      <c r="AI59" s="6">
        <f>IF(AF59="","",AF59+AC59)</f>
        <v/>
      </c>
      <c r="AJ59" s="6">
        <f>IF(AG59="","",AG59+AD59)</f>
        <v/>
      </c>
      <c r="AK59" s="6">
        <f>AJ59-AI59</f>
        <v/>
      </c>
      <c r="AL59" t="inlineStr">
        <is>
          <t>경미한 차이</t>
        </is>
      </c>
      <c r="AM59" t="inlineStr">
        <is>
          <t>-</t>
        </is>
      </c>
      <c r="AN59" t="inlineStr">
        <is>
          <t>-</t>
        </is>
      </c>
    </row>
    <row r="60">
      <c r="A60" t="inlineStr">
        <is>
          <t>상각중단_정액_당기전체_01</t>
        </is>
      </c>
      <c r="B60" t="inlineStr">
        <is>
          <t>유형자산</t>
        </is>
      </c>
      <c r="C60" s="4" t="n">
        <v>43831</v>
      </c>
      <c r="D60" s="6" t="n">
        <v>6000000</v>
      </c>
      <c r="E60" s="6" t="n">
        <v>0</v>
      </c>
      <c r="F60" t="inlineStr">
        <is>
          <t>정액법</t>
        </is>
      </c>
      <c r="G60" t="n">
        <v>5</v>
      </c>
      <c r="H60" s="12">
        <f>IF(IF(J60&lt;&gt;"",IF(L60&lt;&gt;"",L60,F60),F60)="정률법",VLOOKUP(IF(J60&lt;&gt;"",K60,G60),'상각률표(별표4)'!$A$2:$C$60,3,FALSE),IF(IF(J60&lt;&gt;"",IF(L60&lt;&gt;"",L60,F60),F60)="생산량비례법","-",IF(IF(J60&lt;&gt;"",IF(L60&lt;&gt;"",L60,F60),F60)="이중체감법",2/IF(J60&lt;&gt;"",K60,G60),IF(IF(J60&lt;&gt;"",IF(L60&lt;&gt;"",L60,F60),F60)="연수합계법",(IF(J60&lt;&gt;"",K60,G60)-('기준정보'!$E$3-YEAR(IF(J60&lt;&gt;"",J60,C60))+1)+1)/(IF(J60&lt;&gt;"",K60,G60)*(IF(J60&lt;&gt;"",K60,G60)+1)/2),12/W60))))</f>
        <v/>
      </c>
      <c r="I60" s="4" t="inlineStr"/>
      <c r="J60" s="4" t="inlineStr"/>
      <c r="K60" t="inlineStr"/>
      <c r="L60" t="inlineStr"/>
      <c r="M60" s="6" t="inlineStr"/>
      <c r="N60" s="6" t="inlineStr"/>
      <c r="O60" s="6" t="inlineStr"/>
      <c r="P60" s="6">
        <f>IF(OR(O60="",N60=""),"",O60+N60)</f>
        <v/>
      </c>
      <c r="Q60" s="4" t="inlineStr"/>
      <c r="R60" s="6" t="inlineStr"/>
      <c r="S60" s="4" t="n">
        <v>45658</v>
      </c>
      <c r="T60" s="4" t="n">
        <v>46022</v>
      </c>
      <c r="U60">
        <f>(YEAR('기준정보'!$E$2)-YEAR(C60))*12+MONTH('기준정보'!$E$2)-MONTH(C60)+1</f>
        <v/>
      </c>
      <c r="V60" t="n">
        <v>0</v>
      </c>
      <c r="W60" t="n">
        <v>60</v>
      </c>
      <c r="X60" s="6" t="n">
        <v>6000000</v>
      </c>
      <c r="Y60" s="6">
        <f>X60-E60</f>
        <v/>
      </c>
      <c r="Z60" s="6" t="n">
        <v>0</v>
      </c>
      <c r="AA60" t="inlineStr">
        <is>
          <t>종료</t>
        </is>
      </c>
      <c r="AB60" t="inlineStr">
        <is>
          <t>상각중단(2025-01-01~2025-12-31); 내용연수종료</t>
        </is>
      </c>
      <c r="AC60" s="6" t="n">
        <v>0</v>
      </c>
      <c r="AD60" s="6">
        <f>IF(IF(J60&lt;&gt;"",IF(L60&lt;&gt;"",L60,F60),F60)="생산량비례법",(D60-E60)*N60/M60,IF(IF(J60&lt;&gt;"",IF(L60&lt;&gt;"",L60,F60),F60)="정률법",IF(X60-X60*H60*V60/12&lt;=(D60+IF(R60&lt;&gt;"",R60,0))*0.05,Y60,X60*H60*V60/12),IF(IF(J60&lt;&gt;"",IF(L60&lt;&gt;"",L60,F60),F60)="이중체감법",IF(X60-X60*H60*V60/12&lt;=E60,Y60,X60*H60*V60/12),Y60*H60*V60/12)))</f>
        <v/>
      </c>
      <c r="AE60" s="6">
        <f>AD60-AC60</f>
        <v/>
      </c>
      <c r="AF60" s="6" t="n">
        <v>6600000</v>
      </c>
      <c r="AG60" s="6">
        <f>IF(F60="생산량비례법",IF(O60&lt;&gt;"",(D60-E60)*O60/M60,""),(D60+IF(AND(R60&lt;&gt;"",Q60&lt;='기준정보'!$E$4),R60,0))-Z60)</f>
        <v/>
      </c>
      <c r="AH60" s="6">
        <f>AG60-AF60</f>
        <v/>
      </c>
      <c r="AI60" s="6">
        <f>IF(AF60="","",AF60+AC60)</f>
        <v/>
      </c>
      <c r="AJ60" s="6">
        <f>IF(AG60="","",AG60+AD60)</f>
        <v/>
      </c>
      <c r="AK60" s="6">
        <f>AJ60-AI60</f>
        <v/>
      </c>
      <c r="AL60" t="inlineStr">
        <is>
          <t>경미한 차이</t>
        </is>
      </c>
      <c r="AM60" t="inlineStr">
        <is>
          <t>-</t>
        </is>
      </c>
      <c r="AN60" t="inlineStr">
        <is>
          <t>-</t>
        </is>
      </c>
    </row>
    <row r="61">
      <c r="A61" t="inlineStr">
        <is>
          <t>상각중단_정률_당기전체_01</t>
        </is>
      </c>
      <c r="B61" t="inlineStr">
        <is>
          <t>유형자산</t>
        </is>
      </c>
      <c r="C61" s="4" t="n">
        <v>43831</v>
      </c>
      <c r="D61" s="6" t="n">
        <v>10000000</v>
      </c>
      <c r="E61" s="6" t="n">
        <v>0</v>
      </c>
      <c r="F61" t="inlineStr">
        <is>
          <t>정률법</t>
        </is>
      </c>
      <c r="G61" t="n">
        <v>6</v>
      </c>
      <c r="H61" s="12">
        <f>IF(IF(J61&lt;&gt;"",IF(L61&lt;&gt;"",L61,F61),F61)="정률법",VLOOKUP(IF(J61&lt;&gt;"",K61,G61),'상각률표(별표4)'!$A$2:$C$60,3,FALSE),IF(IF(J61&lt;&gt;"",IF(L61&lt;&gt;"",L61,F61),F61)="생산량비례법","-",IF(IF(J61&lt;&gt;"",IF(L61&lt;&gt;"",L61,F61),F61)="이중체감법",2/IF(J61&lt;&gt;"",K61,G61),IF(IF(J61&lt;&gt;"",IF(L61&lt;&gt;"",L61,F61),F61)="연수합계법",(IF(J61&lt;&gt;"",K61,G61)-('기준정보'!$E$3-YEAR(IF(J61&lt;&gt;"",J61,C61))+1)+1)/(IF(J61&lt;&gt;"",K61,G61)*(IF(J61&lt;&gt;"",K61,G61)+1)/2),12/W61))))</f>
        <v/>
      </c>
      <c r="I61" s="4" t="inlineStr"/>
      <c r="J61" s="4" t="inlineStr"/>
      <c r="K61" t="inlineStr"/>
      <c r="L61" t="inlineStr"/>
      <c r="M61" s="6" t="inlineStr"/>
      <c r="N61" s="6" t="inlineStr"/>
      <c r="O61" s="6" t="inlineStr"/>
      <c r="P61" s="6">
        <f>IF(OR(O61="",N61=""),"",O61+N61)</f>
        <v/>
      </c>
      <c r="Q61" s="4" t="inlineStr"/>
      <c r="R61" s="6" t="inlineStr"/>
      <c r="S61" s="4" t="n">
        <v>45658</v>
      </c>
      <c r="T61" s="4" t="n">
        <v>46022</v>
      </c>
      <c r="U61">
        <f>(YEAR('기준정보'!$E$2)-YEAR(C61))*12+MONTH('기준정보'!$E$2)-MONTH(C61)+1</f>
        <v/>
      </c>
      <c r="V61" t="n">
        <v>0</v>
      </c>
      <c r="W61" t="n">
        <v>72</v>
      </c>
      <c r="X61" s="6" t="n">
        <v>817265.4149577599</v>
      </c>
      <c r="Y61" s="6">
        <f>X61-E61</f>
        <v/>
      </c>
      <c r="Z61" s="6" t="n">
        <v>817265.4149577599</v>
      </c>
      <c r="AA61" t="inlineStr">
        <is>
          <t>-</t>
        </is>
      </c>
      <c r="AB61" t="inlineStr">
        <is>
          <t>상각중단(2025-01-01~2025-12-31)</t>
        </is>
      </c>
      <c r="AC61" s="6" t="n">
        <v>0</v>
      </c>
      <c r="AD61" s="6">
        <f>IF(IF(J61&lt;&gt;"",IF(L61&lt;&gt;"",L61,F61),F61)="생산량비례법",(D61-E61)*N61/M61,IF(IF(J61&lt;&gt;"",IF(L61&lt;&gt;"",L61,F61),F61)="정률법",IF(X61-X61*H61*V61/12&lt;=(D61+IF(R61&lt;&gt;"",R61,0))*0.05,Y61,X61*H61*V61/12),IF(IF(J61&lt;&gt;"",IF(L61&lt;&gt;"",L61,F61),F61)="이중체감법",IF(X61-X61*H61*V61/12&lt;=E61,Y61,X61*H61*V61/12),Y61*H61*V61/12)))</f>
        <v/>
      </c>
      <c r="AE61" s="6">
        <f>AD61-AC61</f>
        <v/>
      </c>
      <c r="AF61" s="6" t="n">
        <v>9182734</v>
      </c>
      <c r="AG61" s="6">
        <f>IF(F61="생산량비례법",IF(O61&lt;&gt;"",(D61-E61)*O61/M61,""),(D61+IF(AND(R61&lt;&gt;"",Q61&lt;='기준정보'!$E$4),R61,0))-Z61)</f>
        <v/>
      </c>
      <c r="AH61" s="6">
        <f>AG61-AF61</f>
        <v/>
      </c>
      <c r="AI61" s="6">
        <f>IF(AF61="","",AF61+AC61)</f>
        <v/>
      </c>
      <c r="AJ61" s="6">
        <f>IF(AG61="","",AG61+AD61)</f>
        <v/>
      </c>
      <c r="AK61" s="6">
        <f>AJ61-AI61</f>
        <v/>
      </c>
      <c r="AL61" t="inlineStr">
        <is>
          <t>경미한 차이</t>
        </is>
      </c>
      <c r="AM61" t="inlineStr">
        <is>
          <t>-</t>
        </is>
      </c>
      <c r="AN61" t="inlineStr">
        <is>
          <t>-</t>
        </is>
      </c>
    </row>
    <row r="62">
      <c r="A62" t="inlineStr">
        <is>
          <t>상각중단_정액_당기일부_01</t>
        </is>
      </c>
      <c r="B62" t="inlineStr">
        <is>
          <t>무형자산</t>
        </is>
      </c>
      <c r="C62" s="4" t="n">
        <v>43831</v>
      </c>
      <c r="D62" s="6" t="n">
        <v>6000000</v>
      </c>
      <c r="E62" s="6" t="n">
        <v>0</v>
      </c>
      <c r="F62" t="inlineStr">
        <is>
          <t>정액법</t>
        </is>
      </c>
      <c r="G62" t="n">
        <v>5</v>
      </c>
      <c r="H62" s="12">
        <f>IF(IF(J62&lt;&gt;"",IF(L62&lt;&gt;"",L62,F62),F62)="정률법",VLOOKUP(IF(J62&lt;&gt;"",K62,G62),'상각률표(별표4)'!$A$2:$C$60,3,FALSE),IF(IF(J62&lt;&gt;"",IF(L62&lt;&gt;"",L62,F62),F62)="생산량비례법","-",IF(IF(J62&lt;&gt;"",IF(L62&lt;&gt;"",L62,F62),F62)="이중체감법",2/IF(J62&lt;&gt;"",K62,G62),IF(IF(J62&lt;&gt;"",IF(L62&lt;&gt;"",L62,F62),F62)="연수합계법",(IF(J62&lt;&gt;"",K62,G62)-('기준정보'!$E$3-YEAR(IF(J62&lt;&gt;"",J62,C62))+1)+1)/(IF(J62&lt;&gt;"",K62,G62)*(IF(J62&lt;&gt;"",K62,G62)+1)/2),12/W62))))</f>
        <v/>
      </c>
      <c r="I62" s="4" t="inlineStr"/>
      <c r="J62" s="4" t="inlineStr"/>
      <c r="K62" t="inlineStr"/>
      <c r="L62" t="inlineStr"/>
      <c r="M62" s="6" t="inlineStr"/>
      <c r="N62" s="6" t="inlineStr"/>
      <c r="O62" s="6" t="inlineStr"/>
      <c r="P62" s="6">
        <f>IF(OR(O62="",N62=""),"",O62+N62)</f>
        <v/>
      </c>
      <c r="Q62" s="4" t="inlineStr"/>
      <c r="R62" s="6" t="inlineStr"/>
      <c r="S62" s="4" t="n">
        <v>44713</v>
      </c>
      <c r="T62" s="4" t="n">
        <v>44926</v>
      </c>
      <c r="U62">
        <f>(YEAR('기준정보'!$E$2)-YEAR(C62))*12+MONTH('기준정보'!$E$2)-MONTH(C62)+1</f>
        <v/>
      </c>
      <c r="V62" t="n">
        <v>7</v>
      </c>
      <c r="W62" t="n">
        <v>60</v>
      </c>
      <c r="X62" s="6" t="n">
        <v>6000000</v>
      </c>
      <c r="Y62" s="6">
        <f>X62-E62</f>
        <v/>
      </c>
      <c r="Z62" s="6" t="n">
        <v>700000</v>
      </c>
      <c r="AA62" t="inlineStr">
        <is>
          <t>종료</t>
        </is>
      </c>
      <c r="AB62" t="inlineStr">
        <is>
          <t>상각중단(2022-06-01~2022-12-31); 내용연수종료</t>
        </is>
      </c>
      <c r="AC62" s="6" t="n">
        <v>700000</v>
      </c>
      <c r="AD62" s="6">
        <f>IF(IF(J62&lt;&gt;"",IF(L62&lt;&gt;"",L62,F62),F62)="생산량비례법",(D62-E62)*N62/M62,IF(IF(J62&lt;&gt;"",IF(L62&lt;&gt;"",L62,F62),F62)="정률법",IF(X62-X62*H62*V62/12&lt;=(D62+IF(R62&lt;&gt;"",R62,0))*0.05,Y62,X62*H62*V62/12),IF(IF(J62&lt;&gt;"",IF(L62&lt;&gt;"",L62,F62),F62)="이중체감법",IF(X62-X62*H62*V62/12&lt;=E62,Y62,X62*H62*V62/12),Y62*H62*V62/12)))</f>
        <v/>
      </c>
      <c r="AE62" s="6">
        <f>AD62-AC62</f>
        <v/>
      </c>
      <c r="AF62" s="6" t="n">
        <v>5300000</v>
      </c>
      <c r="AG62" s="6">
        <f>IF(F62="생산량비례법",IF(O62&lt;&gt;"",(D62-E62)*O62/M62,""),(D62+IF(AND(R62&lt;&gt;"",Q62&lt;='기준정보'!$E$4),R62,0))-Z62)</f>
        <v/>
      </c>
      <c r="AH62" s="6">
        <f>AG62-AF62</f>
        <v/>
      </c>
      <c r="AI62" s="6">
        <f>IF(AF62="","",AF62+AC62)</f>
        <v/>
      </c>
      <c r="AJ62" s="6">
        <f>IF(AG62="","",AG62+AD62)</f>
        <v/>
      </c>
      <c r="AK62" s="6">
        <f>AJ62-AI62</f>
        <v/>
      </c>
      <c r="AL62" t="inlineStr">
        <is>
          <t>경미한 차이</t>
        </is>
      </c>
      <c r="AM62" t="inlineStr">
        <is>
          <t>-</t>
        </is>
      </c>
      <c r="AN62" t="inlineStr">
        <is>
          <t>-</t>
        </is>
      </c>
    </row>
    <row r="63">
      <c r="A63" t="inlineStr">
        <is>
          <t>상각중단_정률_당기일부_01</t>
        </is>
      </c>
      <c r="B63" t="inlineStr">
        <is>
          <t>유형자산</t>
        </is>
      </c>
      <c r="C63" s="4" t="n">
        <v>44197</v>
      </c>
      <c r="D63" s="6" t="n">
        <v>9000000</v>
      </c>
      <c r="E63" s="6" t="n">
        <v>0</v>
      </c>
      <c r="F63" t="inlineStr">
        <is>
          <t>정률법</t>
        </is>
      </c>
      <c r="G63" t="n">
        <v>5</v>
      </c>
      <c r="H63" s="12">
        <f>IF(IF(J63&lt;&gt;"",IF(L63&lt;&gt;"",L63,F63),F63)="정률법",VLOOKUP(IF(J63&lt;&gt;"",K63,G63),'상각률표(별표4)'!$A$2:$C$60,3,FALSE),IF(IF(J63&lt;&gt;"",IF(L63&lt;&gt;"",L63,F63),F63)="생산량비례법","-",IF(IF(J63&lt;&gt;"",IF(L63&lt;&gt;"",L63,F63),F63)="이중체감법",2/IF(J63&lt;&gt;"",K63,G63),IF(IF(J63&lt;&gt;"",IF(L63&lt;&gt;"",L63,F63),F63)="연수합계법",(IF(J63&lt;&gt;"",K63,G63)-('기준정보'!$E$3-YEAR(IF(J63&lt;&gt;"",J63,C63))+1)+1)/(IF(J63&lt;&gt;"",K63,G63)*(IF(J63&lt;&gt;"",K63,G63)+1)/2),12/W63))))</f>
        <v/>
      </c>
      <c r="I63" s="4" t="inlineStr"/>
      <c r="J63" s="4" t="inlineStr"/>
      <c r="K63" t="inlineStr"/>
      <c r="L63" t="inlineStr"/>
      <c r="M63" s="6" t="inlineStr"/>
      <c r="N63" s="6" t="inlineStr"/>
      <c r="O63" s="6" t="inlineStr"/>
      <c r="P63" s="6">
        <f>IF(OR(O63="",N63=""),"",O63+N63)</f>
        <v/>
      </c>
      <c r="Q63" s="4" t="inlineStr"/>
      <c r="R63" s="6" t="inlineStr"/>
      <c r="S63" s="4" t="n">
        <v>44986</v>
      </c>
      <c r="T63" s="4" t="n">
        <v>45199</v>
      </c>
      <c r="U63">
        <f>(YEAR('기준정보'!$E$2)-YEAR(C63))*12+MONTH('기준정보'!$E$2)-MONTH(C63)+1</f>
        <v/>
      </c>
      <c r="V63" t="n">
        <v>12</v>
      </c>
      <c r="W63" t="n">
        <v>60</v>
      </c>
      <c r="X63" s="6" t="n">
        <v>1209372.64275375</v>
      </c>
      <c r="Y63" s="6">
        <f>X63-E63</f>
        <v/>
      </c>
      <c r="Z63" s="6" t="n">
        <v>1209372.64275375</v>
      </c>
      <c r="AA63" t="inlineStr">
        <is>
          <t>-</t>
        </is>
      </c>
      <c r="AB63" t="inlineStr">
        <is>
          <t>상각중단(2023-03-01~2023-09-30)</t>
        </is>
      </c>
      <c r="AC63" s="6" t="n">
        <v>545427</v>
      </c>
      <c r="AD63" s="6">
        <f>IF(IF(J63&lt;&gt;"",IF(L63&lt;&gt;"",L63,F63),F63)="생산량비례법",(D63-E63)*N63/M63,IF(IF(J63&lt;&gt;"",IF(L63&lt;&gt;"",L63,F63),F63)="정률법",IF(X63-X63*H63*V63/12&lt;=(D63+IF(R63&lt;&gt;"",R63,0))*0.05,Y63,X63*H63*V63/12),IF(IF(J63&lt;&gt;"",IF(L63&lt;&gt;"",L63,F63),F63)="이중체감법",IF(X63-X63*H63*V63/12&lt;=E63,Y63,X63*H63*V63/12),Y63*H63*V63/12)))</f>
        <v/>
      </c>
      <c r="AE63" s="6">
        <f>AD63-AC63</f>
        <v/>
      </c>
      <c r="AF63" s="6" t="n">
        <v>7790627</v>
      </c>
      <c r="AG63" s="6">
        <f>IF(F63="생산량비례법",IF(O63&lt;&gt;"",(D63-E63)*O63/M63,""),(D63+IF(AND(R63&lt;&gt;"",Q63&lt;='기준정보'!$E$4),R63,0))-Z63)</f>
        <v/>
      </c>
      <c r="AH63" s="6">
        <f>AG63-AF63</f>
        <v/>
      </c>
      <c r="AI63" s="6">
        <f>IF(AF63="","",AF63+AC63)</f>
        <v/>
      </c>
      <c r="AJ63" s="6">
        <f>IF(AG63="","",AG63+AD63)</f>
        <v/>
      </c>
      <c r="AK63" s="6">
        <f>AJ63-AI63</f>
        <v/>
      </c>
      <c r="AL63" t="inlineStr">
        <is>
          <t>경미한 차이</t>
        </is>
      </c>
      <c r="AM63" t="inlineStr">
        <is>
          <t>-</t>
        </is>
      </c>
      <c r="AN63" t="inlineStr">
        <is>
          <t>-</t>
        </is>
      </c>
    </row>
    <row r="64">
      <c r="A64" t="inlineStr">
        <is>
          <t>상각중단_정액_재개후_01</t>
        </is>
      </c>
      <c r="B64" t="inlineStr">
        <is>
          <t>유형자산</t>
        </is>
      </c>
      <c r="C64" s="4" t="n">
        <v>43831</v>
      </c>
      <c r="D64" s="6" t="n">
        <v>6000000</v>
      </c>
      <c r="E64" s="6" t="n">
        <v>0</v>
      </c>
      <c r="F64" t="inlineStr">
        <is>
          <t>정액법</t>
        </is>
      </c>
      <c r="G64" t="n">
        <v>5</v>
      </c>
      <c r="H64" s="12">
        <f>IF(IF(J64&lt;&gt;"",IF(L64&lt;&gt;"",L64,F64),F64)="정률법",VLOOKUP(IF(J64&lt;&gt;"",K64,G64),'상각률표(별표4)'!$A$2:$C$60,3,FALSE),IF(IF(J64&lt;&gt;"",IF(L64&lt;&gt;"",L64,F64),F64)="생산량비례법","-",IF(IF(J64&lt;&gt;"",IF(L64&lt;&gt;"",L64,F64),F64)="이중체감법",2/IF(J64&lt;&gt;"",K64,G64),IF(IF(J64&lt;&gt;"",IF(L64&lt;&gt;"",L64,F64),F64)="연수합계법",(IF(J64&lt;&gt;"",K64,G64)-('기준정보'!$E$3-YEAR(IF(J64&lt;&gt;"",J64,C64))+1)+1)/(IF(J64&lt;&gt;"",K64,G64)*(IF(J64&lt;&gt;"",K64,G64)+1)/2),12/W64))))</f>
        <v/>
      </c>
      <c r="I64" s="4" t="inlineStr"/>
      <c r="J64" s="4" t="inlineStr"/>
      <c r="K64" t="inlineStr"/>
      <c r="L64" t="inlineStr"/>
      <c r="M64" s="6" t="inlineStr"/>
      <c r="N64" s="6" t="inlineStr"/>
      <c r="O64" s="6" t="inlineStr"/>
      <c r="P64" s="6">
        <f>IF(OR(O64="",N64=""),"",O64+N64)</f>
        <v/>
      </c>
      <c r="Q64" s="4" t="inlineStr"/>
      <c r="R64" s="6" t="inlineStr"/>
      <c r="S64" s="4" t="n">
        <v>44197</v>
      </c>
      <c r="T64" s="4" t="n">
        <v>44377</v>
      </c>
      <c r="U64">
        <f>(YEAR('기준정보'!$E$2)-YEAR(C64))*12+MONTH('기준정보'!$E$2)-MONTH(C64)+1</f>
        <v/>
      </c>
      <c r="V64" t="n">
        <v>6</v>
      </c>
      <c r="W64" t="n">
        <v>60</v>
      </c>
      <c r="X64" s="6" t="n">
        <v>6000000</v>
      </c>
      <c r="Y64" s="6">
        <f>X64-E64</f>
        <v/>
      </c>
      <c r="Z64" s="6" t="n">
        <v>600000</v>
      </c>
      <c r="AA64" t="inlineStr">
        <is>
          <t>종료</t>
        </is>
      </c>
      <c r="AB64" t="inlineStr">
        <is>
          <t>상각중단(2021-01-01~2021-06-30); 내용연수종료</t>
        </is>
      </c>
      <c r="AC64" s="6" t="n">
        <v>600000</v>
      </c>
      <c r="AD64" s="6">
        <f>IF(IF(J64&lt;&gt;"",IF(L64&lt;&gt;"",L64,F64),F64)="생산량비례법",(D64-E64)*N64/M64,IF(IF(J64&lt;&gt;"",IF(L64&lt;&gt;"",L64,F64),F64)="정률법",IF(X64-X64*H64*V64/12&lt;=(D64+IF(R64&lt;&gt;"",R64,0))*0.05,Y64,X64*H64*V64/12),IF(IF(J64&lt;&gt;"",IF(L64&lt;&gt;"",L64,F64),F64)="이중체감법",IF(X64-X64*H64*V64/12&lt;=E64,Y64,X64*H64*V64/12),Y64*H64*V64/12)))</f>
        <v/>
      </c>
      <c r="AE64" s="6">
        <f>AD64-AC64</f>
        <v/>
      </c>
      <c r="AF64" s="6" t="n">
        <v>5400000</v>
      </c>
      <c r="AG64" s="6">
        <f>IF(F64="생산량비례법",IF(O64&lt;&gt;"",(D64-E64)*O64/M64,""),(D64+IF(AND(R64&lt;&gt;"",Q64&lt;='기준정보'!$E$4),R64,0))-Z64)</f>
        <v/>
      </c>
      <c r="AH64" s="6">
        <f>AG64-AF64</f>
        <v/>
      </c>
      <c r="AI64" s="6">
        <f>IF(AF64="","",AF64+AC64)</f>
        <v/>
      </c>
      <c r="AJ64" s="6">
        <f>IF(AG64="","",AG64+AD64)</f>
        <v/>
      </c>
      <c r="AK64" s="6">
        <f>AJ64-AI64</f>
        <v/>
      </c>
      <c r="AL64" t="inlineStr">
        <is>
          <t>경미한 차이</t>
        </is>
      </c>
      <c r="AM64" t="inlineStr">
        <is>
          <t>-</t>
        </is>
      </c>
      <c r="AN64" t="inlineStr">
        <is>
          <t>-</t>
        </is>
      </c>
    </row>
    <row r="65">
      <c r="A65" t="inlineStr">
        <is>
          <t>상각중단_정률_재개후_01</t>
        </is>
      </c>
      <c r="B65" t="inlineStr">
        <is>
          <t>유형자산</t>
        </is>
      </c>
      <c r="C65" s="4" t="n">
        <v>44197</v>
      </c>
      <c r="D65" s="6" t="n">
        <v>8000000</v>
      </c>
      <c r="E65" s="6" t="n">
        <v>0</v>
      </c>
      <c r="F65" t="inlineStr">
        <is>
          <t>정률법</t>
        </is>
      </c>
      <c r="G65" t="n">
        <v>5</v>
      </c>
      <c r="H65" s="12">
        <f>IF(IF(J65&lt;&gt;"",IF(L65&lt;&gt;"",L65,F65),F65)="정률법",VLOOKUP(IF(J65&lt;&gt;"",K65,G65),'상각률표(별표4)'!$A$2:$C$60,3,FALSE),IF(IF(J65&lt;&gt;"",IF(L65&lt;&gt;"",L65,F65),F65)="생산량비례법","-",IF(IF(J65&lt;&gt;"",IF(L65&lt;&gt;"",L65,F65),F65)="이중체감법",2/IF(J65&lt;&gt;"",K65,G65),IF(IF(J65&lt;&gt;"",IF(L65&lt;&gt;"",L65,F65),F65)="연수합계법",(IF(J65&lt;&gt;"",K65,G65)-('기준정보'!$E$3-YEAR(IF(J65&lt;&gt;"",J65,C65))+1)+1)/(IF(J65&lt;&gt;"",K65,G65)*(IF(J65&lt;&gt;"",K65,G65)+1)/2),12/W65))))</f>
        <v/>
      </c>
      <c r="I65" s="4" t="inlineStr"/>
      <c r="J65" s="4" t="inlineStr"/>
      <c r="K65" t="inlineStr"/>
      <c r="L65" t="inlineStr"/>
      <c r="M65" s="6" t="inlineStr"/>
      <c r="N65" s="6" t="inlineStr"/>
      <c r="O65" s="6" t="inlineStr"/>
      <c r="P65" s="6">
        <f>IF(OR(O65="",N65=""),"",O65+N65)</f>
        <v/>
      </c>
      <c r="Q65" s="4" t="inlineStr"/>
      <c r="R65" s="6" t="inlineStr"/>
      <c r="S65" s="4" t="n">
        <v>44562</v>
      </c>
      <c r="T65" s="4" t="n">
        <v>44742</v>
      </c>
      <c r="U65">
        <f>(YEAR('기준정보'!$E$2)-YEAR(C65))*12+MONTH('기준정보'!$E$2)-MONTH(C65)+1</f>
        <v/>
      </c>
      <c r="V65" t="n">
        <v>12</v>
      </c>
      <c r="W65" t="n">
        <v>60</v>
      </c>
      <c r="X65" s="6" t="n">
        <v>1025246.847204</v>
      </c>
      <c r="Y65" s="6">
        <f>X65-E65</f>
        <v/>
      </c>
      <c r="Z65" s="6" t="n">
        <v>1025246.847204</v>
      </c>
      <c r="AA65" t="inlineStr">
        <is>
          <t>-</t>
        </is>
      </c>
      <c r="AB65" t="inlineStr">
        <is>
          <t>상각중단(2022-01-01~2022-06-30)</t>
        </is>
      </c>
      <c r="AC65" s="6" t="n">
        <v>462386</v>
      </c>
      <c r="AD65" s="6">
        <f>IF(IF(J65&lt;&gt;"",IF(L65&lt;&gt;"",L65,F65),F65)="생산량비례법",(D65-E65)*N65/M65,IF(IF(J65&lt;&gt;"",IF(L65&lt;&gt;"",L65,F65),F65)="정률법",IF(X65-X65*H65*V65/12&lt;=(D65+IF(R65&lt;&gt;"",R65,0))*0.05,Y65,X65*H65*V65/12),IF(IF(J65&lt;&gt;"",IF(L65&lt;&gt;"",L65,F65),F65)="이중체감법",IF(X65-X65*H65*V65/12&lt;=E65,Y65,X65*H65*V65/12),Y65*H65*V65/12)))</f>
        <v/>
      </c>
      <c r="AE65" s="6">
        <f>AD65-AC65</f>
        <v/>
      </c>
      <c r="AF65" s="6" t="n">
        <v>6974753</v>
      </c>
      <c r="AG65" s="6">
        <f>IF(F65="생산량비례법",IF(O65&lt;&gt;"",(D65-E65)*O65/M65,""),(D65+IF(AND(R65&lt;&gt;"",Q65&lt;='기준정보'!$E$4),R65,0))-Z65)</f>
        <v/>
      </c>
      <c r="AH65" s="6">
        <f>AG65-AF65</f>
        <v/>
      </c>
      <c r="AI65" s="6">
        <f>IF(AF65="","",AF65+AC65)</f>
        <v/>
      </c>
      <c r="AJ65" s="6">
        <f>IF(AG65="","",AG65+AD65)</f>
        <v/>
      </c>
      <c r="AK65" s="6">
        <f>AJ65-AI65</f>
        <v/>
      </c>
      <c r="AL65" t="inlineStr">
        <is>
          <t>경미한 차이</t>
        </is>
      </c>
      <c r="AM65" t="inlineStr">
        <is>
          <t>-</t>
        </is>
      </c>
      <c r="AN65" t="inlineStr">
        <is>
          <t>-</t>
        </is>
      </c>
    </row>
    <row r="66">
      <c r="A66" s="13" t="inlineStr">
        <is>
          <t>상각중단_정액_당기일부_02</t>
        </is>
      </c>
      <c r="B66" s="13" t="inlineStr">
        <is>
          <t>유형자산</t>
        </is>
      </c>
      <c r="C66" s="14" t="n">
        <v>44562</v>
      </c>
      <c r="D66" s="15" t="n">
        <v>7500000</v>
      </c>
      <c r="E66" s="15" t="n">
        <v>0</v>
      </c>
      <c r="F66" s="13" t="inlineStr">
        <is>
          <t>정액법</t>
        </is>
      </c>
      <c r="G66" s="13" t="n">
        <v>5</v>
      </c>
      <c r="H66" s="16">
        <f>IF(IF(J66&lt;&gt;"",IF(L66&lt;&gt;"",L66,F66),F66)="정률법",VLOOKUP(IF(J66&lt;&gt;"",K66,G66),'상각률표(별표4)'!$A$2:$C$60,3,FALSE),IF(IF(J66&lt;&gt;"",IF(L66&lt;&gt;"",L66,F66),F66)="생산량비례법","-",IF(IF(J66&lt;&gt;"",IF(L66&lt;&gt;"",L66,F66),F66)="이중체감법",2/IF(J66&lt;&gt;"",K66,G66),IF(IF(J66&lt;&gt;"",IF(L66&lt;&gt;"",L66,F66),F66)="연수합계법",(IF(J66&lt;&gt;"",K66,G66)-('기준정보'!$E$3-YEAR(IF(J66&lt;&gt;"",J66,C66))+1)+1)/(IF(J66&lt;&gt;"",K66,G66)*(IF(J66&lt;&gt;"",K66,G66)+1)/2),12/W66))))</f>
        <v/>
      </c>
      <c r="I66" s="14" t="inlineStr"/>
      <c r="J66" s="14" t="inlineStr"/>
      <c r="K66" s="13" t="inlineStr"/>
      <c r="L66" s="13" t="inlineStr"/>
      <c r="M66" s="15" t="inlineStr"/>
      <c r="N66" s="15" t="inlineStr"/>
      <c r="O66" s="15" t="inlineStr"/>
      <c r="P66" s="15">
        <f>IF(OR(O66="",N66=""),"",O66+N66)</f>
        <v/>
      </c>
      <c r="Q66" s="14" t="inlineStr"/>
      <c r="R66" s="15" t="inlineStr"/>
      <c r="S66" s="14" t="n">
        <v>45383</v>
      </c>
      <c r="T66" s="14" t="n">
        <v>45596</v>
      </c>
      <c r="U66" s="13">
        <f>(YEAR('기준정보'!$E$2)-YEAR(C66))*12+MONTH('기준정보'!$E$2)-MONTH(C66)+1</f>
        <v/>
      </c>
      <c r="V66" s="13" t="n">
        <v>12</v>
      </c>
      <c r="W66" s="13" t="n">
        <v>60</v>
      </c>
      <c r="X66" s="15" t="n">
        <v>7500000</v>
      </c>
      <c r="Y66" s="15">
        <f>X66-E66</f>
        <v/>
      </c>
      <c r="Z66" s="15" t="n">
        <v>3875000</v>
      </c>
      <c r="AA66" s="13" t="inlineStr">
        <is>
          <t>-</t>
        </is>
      </c>
      <c r="AB66" s="13" t="inlineStr">
        <is>
          <t>상각중단(2024-04-01~2024-10-31)</t>
        </is>
      </c>
      <c r="AC66" s="15" t="n">
        <v>1650000</v>
      </c>
      <c r="AD66" s="15">
        <f>IF(IF(J66&lt;&gt;"",IF(L66&lt;&gt;"",L66,F66),F66)="생산량비례법",(D66-E66)*N66/M66,IF(IF(J66&lt;&gt;"",IF(L66&lt;&gt;"",L66,F66),F66)="정률법",IF(X66-X66*H66*V66/12&lt;=(D66+IF(R66&lt;&gt;"",R66,0))*0.05,Y66,X66*H66*V66/12),IF(IF(J66&lt;&gt;"",IF(L66&lt;&gt;"",L66,F66),F66)="이중체감법",IF(X66-X66*H66*V66/12&lt;=E66,Y66,X66*H66*V66/12),Y66*H66*V66/12)))</f>
        <v/>
      </c>
      <c r="AE66" s="15">
        <f>AD66-AC66</f>
        <v/>
      </c>
      <c r="AF66" s="15" t="n">
        <v>3625000</v>
      </c>
      <c r="AG66" s="15">
        <f>IF(F66="생산량비례법",IF(O66&lt;&gt;"",(D66-E66)*O66/M66,""),(D66+IF(AND(R66&lt;&gt;"",Q66&lt;='기준정보'!$E$4),R66,0))-Z66)</f>
        <v/>
      </c>
      <c r="AH66" s="15">
        <f>AG66-AF66</f>
        <v/>
      </c>
      <c r="AI66" s="15">
        <f>IF(AF66="","",AF66+AC66)</f>
        <v/>
      </c>
      <c r="AJ66" s="15">
        <f>IF(AG66="","",AG66+AD66)</f>
        <v/>
      </c>
      <c r="AK66" s="15">
        <f>AJ66-AI66</f>
        <v/>
      </c>
      <c r="AL66" s="13" t="inlineStr">
        <is>
          <t>경미한 차이</t>
        </is>
      </c>
      <c r="AM66" s="13" t="inlineStr">
        <is>
          <t>감가상각중단 반영 오류 추정(중단기간 0원 처리 또는 종료시점 연장 미반영 가능성)</t>
        </is>
      </c>
      <c r="AN66" s="13" t="inlineStr">
        <is>
          <t>규칙</t>
        </is>
      </c>
    </row>
    <row r="67">
      <c r="A67" t="inlineStr">
        <is>
          <t>상각중단_정률_재개후_02</t>
        </is>
      </c>
      <c r="B67" t="inlineStr">
        <is>
          <t>무형자산</t>
        </is>
      </c>
      <c r="C67" s="4" t="n">
        <v>44348</v>
      </c>
      <c r="D67" s="6" t="n">
        <v>5500000</v>
      </c>
      <c r="E67" s="6" t="n">
        <v>0</v>
      </c>
      <c r="F67" t="inlineStr">
        <is>
          <t>정률법</t>
        </is>
      </c>
      <c r="G67" t="n">
        <v>4</v>
      </c>
      <c r="H67" s="12">
        <f>IF(IF(J67&lt;&gt;"",IF(L67&lt;&gt;"",L67,F67),F67)="정률법",VLOOKUP(IF(J67&lt;&gt;"",K67,G67),'상각률표(별표4)'!$A$2:$C$60,3,FALSE),IF(IF(J67&lt;&gt;"",IF(L67&lt;&gt;"",L67,F67),F67)="생산량비례법","-",IF(IF(J67&lt;&gt;"",IF(L67&lt;&gt;"",L67,F67),F67)="이중체감법",2/IF(J67&lt;&gt;"",K67,G67),IF(IF(J67&lt;&gt;"",IF(L67&lt;&gt;"",L67,F67),F67)="연수합계법",(IF(J67&lt;&gt;"",K67,G67)-('기준정보'!$E$3-YEAR(IF(J67&lt;&gt;"",J67,C67))+1)+1)/(IF(J67&lt;&gt;"",K67,G67)*(IF(J67&lt;&gt;"",K67,G67)+1)/2),12/W67))))</f>
        <v/>
      </c>
      <c r="I67" s="4" t="inlineStr"/>
      <c r="J67" s="4" t="inlineStr"/>
      <c r="K67" t="inlineStr"/>
      <c r="L67" t="inlineStr"/>
      <c r="M67" s="6" t="inlineStr"/>
      <c r="N67" s="6" t="inlineStr"/>
      <c r="O67" s="6" t="inlineStr"/>
      <c r="P67" s="6">
        <f>IF(OR(O67="",N67=""),"",O67+N67)</f>
        <v/>
      </c>
      <c r="Q67" s="4" t="inlineStr"/>
      <c r="R67" s="6" t="inlineStr"/>
      <c r="S67" s="4" t="n">
        <v>44562</v>
      </c>
      <c r="T67" s="4" t="n">
        <v>44651</v>
      </c>
      <c r="U67">
        <f>(YEAR('기준정보'!$E$2)-YEAR(C67))*12+MONTH('기준정보'!$E$2)-MONTH(C67)+1</f>
        <v/>
      </c>
      <c r="V67" t="n">
        <v>8</v>
      </c>
      <c r="W67" t="n">
        <v>48</v>
      </c>
      <c r="X67" s="6" t="n">
        <v>512141.2060159999</v>
      </c>
      <c r="Y67" s="6">
        <f>X67-E67</f>
        <v/>
      </c>
      <c r="Z67" s="6" t="n">
        <v>512141.2060159999</v>
      </c>
      <c r="AA67" t="inlineStr">
        <is>
          <t>종료</t>
        </is>
      </c>
      <c r="AB67" t="inlineStr">
        <is>
          <t>상각중단(2022-01-01~2022-03-31); 내용연수종료</t>
        </is>
      </c>
      <c r="AC67" s="6" t="n">
        <v>180274</v>
      </c>
      <c r="AD67" s="6">
        <f>IF(IF(J67&lt;&gt;"",IF(L67&lt;&gt;"",L67,F67),F67)="생산량비례법",(D67-E67)*N67/M67,IF(IF(J67&lt;&gt;"",IF(L67&lt;&gt;"",L67,F67),F67)="정률법",IF(X67-X67*H67*V67/12&lt;=(D67+IF(R67&lt;&gt;"",R67,0))*0.05,Y67,X67*H67*V67/12),IF(IF(J67&lt;&gt;"",IF(L67&lt;&gt;"",L67,F67),F67)="이중체감법",IF(X67-X67*H67*V67/12&lt;=E67,Y67,X67*H67*V67/12),Y67*H67*V67/12)))</f>
        <v/>
      </c>
      <c r="AE67" s="6">
        <f>AD67-AC67</f>
        <v/>
      </c>
      <c r="AF67" s="6" t="n">
        <v>4987859</v>
      </c>
      <c r="AG67" s="6">
        <f>IF(F67="생산량비례법",IF(O67&lt;&gt;"",(D67-E67)*O67/M67,""),(D67+IF(AND(R67&lt;&gt;"",Q67&lt;='기준정보'!$E$4),R67,0))-Z67)</f>
        <v/>
      </c>
      <c r="AH67" s="6">
        <f>AG67-AF67</f>
        <v/>
      </c>
      <c r="AI67" s="6">
        <f>IF(AF67="","",AF67+AC67)</f>
        <v/>
      </c>
      <c r="AJ67" s="6">
        <f>IF(AG67="","",AG67+AD67)</f>
        <v/>
      </c>
      <c r="AK67" s="6">
        <f>AJ67-AI67</f>
        <v/>
      </c>
      <c r="AL67" t="inlineStr">
        <is>
          <t>경미한 차이</t>
        </is>
      </c>
      <c r="AM67" t="inlineStr">
        <is>
          <t>-</t>
        </is>
      </c>
      <c r="AN67" t="inlineStr">
        <is>
          <t>-</t>
        </is>
      </c>
    </row>
    <row r="68">
      <c r="A68" t="inlineStr">
        <is>
          <t>추가취득_정액_01</t>
        </is>
      </c>
      <c r="B68" t="inlineStr">
        <is>
          <t>유형자산</t>
        </is>
      </c>
      <c r="C68" s="4" t="n">
        <v>45838</v>
      </c>
      <c r="D68" s="6" t="n">
        <v>5000000</v>
      </c>
      <c r="E68" s="6" t="n">
        <v>0</v>
      </c>
      <c r="F68" t="inlineStr">
        <is>
          <t>정액법</t>
        </is>
      </c>
      <c r="G68" t="n">
        <v>5</v>
      </c>
      <c r="H68" s="12">
        <f>IF(IF(J68&lt;&gt;"",IF(L68&lt;&gt;"",L68,F68),F68)="정률법",VLOOKUP(IF(J68&lt;&gt;"",K68,G68),'상각률표(별표4)'!$A$2:$C$60,3,FALSE),IF(IF(J68&lt;&gt;"",IF(L68&lt;&gt;"",L68,F68),F68)="생산량비례법","-",IF(IF(J68&lt;&gt;"",IF(L68&lt;&gt;"",L68,F68),F68)="이중체감법",2/IF(J68&lt;&gt;"",K68,G68),IF(IF(J68&lt;&gt;"",IF(L68&lt;&gt;"",L68,F68),F68)="연수합계법",(IF(J68&lt;&gt;"",K68,G68)-('기준정보'!$E$3-YEAR(IF(J68&lt;&gt;"",J68,C68))+1)+1)/(IF(J68&lt;&gt;"",K68,G68)*(IF(J68&lt;&gt;"",K68,G68)+1)/2),12/W68))))</f>
        <v/>
      </c>
      <c r="I68" s="4" t="inlineStr"/>
      <c r="J68" s="4" t="inlineStr"/>
      <c r="K68" t="inlineStr"/>
      <c r="L68" t="inlineStr"/>
      <c r="M68" s="6" t="inlineStr"/>
      <c r="N68" s="6" t="inlineStr"/>
      <c r="O68" s="6" t="inlineStr"/>
      <c r="P68" s="6">
        <f>IF(OR(O68="",N68=""),"",O68+N68)</f>
        <v/>
      </c>
      <c r="Q68" s="4" t="inlineStr"/>
      <c r="R68" s="6" t="inlineStr"/>
      <c r="S68" s="4" t="inlineStr"/>
      <c r="T68" s="4" t="inlineStr"/>
      <c r="U68">
        <f>(YEAR('기준정보'!$E$2)-YEAR(C68))*12+MONTH('기준정보'!$E$2)-MONTH(C68)+1</f>
        <v/>
      </c>
      <c r="V68">
        <f>MAX(0,MAX(0,MIN((IF(J68&lt;&gt;"",YEAR(J68)*12+MONTH(J68),YEAR(C68)*12+MONTH(C68))+W68-1),('기준정보'!$E$3*12+12),IF(I68&lt;&gt;"",YEAR(I68)*12+MONTH(I68),9999999))-MAX(IF(J68&lt;&gt;"",YEAR(J68)*12+MONTH(J68),YEAR(C68)*12+MONTH(C68)),('기준정보'!$E$3*12+1))+1)-IF(S68&lt;&gt;"",MAX(0,MIN(MIN((IF(J68&lt;&gt;"",YEAR(J68)*12+MONTH(J68),YEAR(C68)*12+MONTH(C68))+W68-1),('기준정보'!$E$3*12+12),IF(I68&lt;&gt;"",YEAR(I68)*12+MONTH(I68),9999999)),YEAR(T68)*12+MONTH(T68))-MAX(MAX(IF(J68&lt;&gt;"",YEAR(J68)*12+MONTH(J68),YEAR(C68)*12+MONTH(C68)),('기준정보'!$E$3*12+1)),YEAR(S68)*12+MONTH(S68))+1),0))</f>
        <v/>
      </c>
      <c r="W68">
        <f>IF(J68&lt;&gt;"",K68,G68)*12</f>
        <v/>
      </c>
      <c r="X68" s="6" t="n">
        <v>5000000</v>
      </c>
      <c r="Y68" s="6">
        <f>X68-E68</f>
        <v/>
      </c>
      <c r="Z68" s="6" t="n">
        <v>5000000</v>
      </c>
      <c r="AA68" t="inlineStr">
        <is>
          <t>-</t>
        </is>
      </c>
      <c r="AB68" t="inlineStr">
        <is>
          <t>-</t>
        </is>
      </c>
      <c r="AC68" s="6" t="n">
        <v>583333</v>
      </c>
      <c r="AD68" s="6">
        <f>IF(IF(J68&lt;&gt;"",IF(L68&lt;&gt;"",L68,F68),F68)="생산량비례법",(D68-E68)*N68/M68,IF(IF(J68&lt;&gt;"",IF(L68&lt;&gt;"",L68,F68),F68)="정률법",IF(X68-X68*H68*V68/12&lt;=(D68+IF(R68&lt;&gt;"",R68,0))*0.05,Y68,X68*H68*V68/12),IF(IF(J68&lt;&gt;"",IF(L68&lt;&gt;"",L68,F68),F68)="이중체감법",IF(X68-X68*H68*V68/12&lt;=E68,Y68,X68*H68*V68/12),Y68*H68*V68/12)))</f>
        <v/>
      </c>
      <c r="AE68" s="6">
        <f>AD68-AC68</f>
        <v/>
      </c>
      <c r="AF68" s="6" t="n">
        <v>0</v>
      </c>
      <c r="AG68" s="6">
        <f>IF(F68="생산량비례법",IF(O68&lt;&gt;"",(D68-E68)*O68/M68,""),(D68+IF(AND(R68&lt;&gt;"",Q68&lt;='기준정보'!$E$4),R68,0))-Z68)</f>
        <v/>
      </c>
      <c r="AH68" s="6">
        <f>AG68-AF68</f>
        <v/>
      </c>
      <c r="AI68" s="6">
        <f>IF(AF68="","",AF68+AC68)</f>
        <v/>
      </c>
      <c r="AJ68" s="6">
        <f>IF(AG68="","",AG68+AD68)</f>
        <v/>
      </c>
      <c r="AK68" s="6">
        <f>AJ68-AI68</f>
        <v/>
      </c>
      <c r="AL68" t="inlineStr">
        <is>
          <t>경미한 차이</t>
        </is>
      </c>
      <c r="AM68" t="inlineStr">
        <is>
          <t>-</t>
        </is>
      </c>
      <c r="AN68" t="inlineStr">
        <is>
          <t>-</t>
        </is>
      </c>
    </row>
    <row r="69">
      <c r="A69" t="inlineStr">
        <is>
          <t>추가취득_정액_02</t>
        </is>
      </c>
      <c r="B69" t="inlineStr">
        <is>
          <t>유형자산</t>
        </is>
      </c>
      <c r="C69" s="4" t="n">
        <v>45839</v>
      </c>
      <c r="D69" s="6" t="n">
        <v>5000000</v>
      </c>
      <c r="E69" s="6" t="n">
        <v>0</v>
      </c>
      <c r="F69" t="inlineStr">
        <is>
          <t>정액법</t>
        </is>
      </c>
      <c r="G69" t="n">
        <v>5</v>
      </c>
      <c r="H69" s="12">
        <f>IF(IF(J69&lt;&gt;"",IF(L69&lt;&gt;"",L69,F69),F69)="정률법",VLOOKUP(IF(J69&lt;&gt;"",K69,G69),'상각률표(별표4)'!$A$2:$C$60,3,FALSE),IF(IF(J69&lt;&gt;"",IF(L69&lt;&gt;"",L69,F69),F69)="생산량비례법","-",IF(IF(J69&lt;&gt;"",IF(L69&lt;&gt;"",L69,F69),F69)="이중체감법",2/IF(J69&lt;&gt;"",K69,G69),IF(IF(J69&lt;&gt;"",IF(L69&lt;&gt;"",L69,F69),F69)="연수합계법",(IF(J69&lt;&gt;"",K69,G69)-('기준정보'!$E$3-YEAR(IF(J69&lt;&gt;"",J69,C69))+1)+1)/(IF(J69&lt;&gt;"",K69,G69)*(IF(J69&lt;&gt;"",K69,G69)+1)/2),12/W69))))</f>
        <v/>
      </c>
      <c r="I69" s="4" t="inlineStr"/>
      <c r="J69" s="4" t="inlineStr"/>
      <c r="K69" t="inlineStr"/>
      <c r="L69" t="inlineStr"/>
      <c r="M69" s="6" t="inlineStr"/>
      <c r="N69" s="6" t="inlineStr"/>
      <c r="O69" s="6" t="inlineStr"/>
      <c r="P69" s="6">
        <f>IF(OR(O69="",N69=""),"",O69+N69)</f>
        <v/>
      </c>
      <c r="Q69" s="4" t="inlineStr"/>
      <c r="R69" s="6" t="inlineStr"/>
      <c r="S69" s="4" t="inlineStr"/>
      <c r="T69" s="4" t="inlineStr"/>
      <c r="U69">
        <f>(YEAR('기준정보'!$E$2)-YEAR(C69))*12+MONTH('기준정보'!$E$2)-MONTH(C69)+1</f>
        <v/>
      </c>
      <c r="V69">
        <f>MAX(0,MAX(0,MIN((IF(J69&lt;&gt;"",YEAR(J69)*12+MONTH(J69),YEAR(C69)*12+MONTH(C69))+W69-1),('기준정보'!$E$3*12+12),IF(I69&lt;&gt;"",YEAR(I69)*12+MONTH(I69),9999999))-MAX(IF(J69&lt;&gt;"",YEAR(J69)*12+MONTH(J69),YEAR(C69)*12+MONTH(C69)),('기준정보'!$E$3*12+1))+1)-IF(S69&lt;&gt;"",MAX(0,MIN(MIN((IF(J69&lt;&gt;"",YEAR(J69)*12+MONTH(J69),YEAR(C69)*12+MONTH(C69))+W69-1),('기준정보'!$E$3*12+12),IF(I69&lt;&gt;"",YEAR(I69)*12+MONTH(I69),9999999)),YEAR(T69)*12+MONTH(T69))-MAX(MAX(IF(J69&lt;&gt;"",YEAR(J69)*12+MONTH(J69),YEAR(C69)*12+MONTH(C69)),('기준정보'!$E$3*12+1)),YEAR(S69)*12+MONTH(S69))+1),0))</f>
        <v/>
      </c>
      <c r="W69">
        <f>IF(J69&lt;&gt;"",K69,G69)*12</f>
        <v/>
      </c>
      <c r="X69" s="6" t="n">
        <v>5000000</v>
      </c>
      <c r="Y69" s="6">
        <f>X69-E69</f>
        <v/>
      </c>
      <c r="Z69" s="6" t="n">
        <v>5000000</v>
      </c>
      <c r="AA69" t="inlineStr">
        <is>
          <t>-</t>
        </is>
      </c>
      <c r="AB69" t="inlineStr">
        <is>
          <t>-</t>
        </is>
      </c>
      <c r="AC69" s="6" t="n">
        <v>500000</v>
      </c>
      <c r="AD69" s="6">
        <f>IF(IF(J69&lt;&gt;"",IF(L69&lt;&gt;"",L69,F69),F69)="생산량비례법",(D69-E69)*N69/M69,IF(IF(J69&lt;&gt;"",IF(L69&lt;&gt;"",L69,F69),F69)="정률법",IF(X69-X69*H69*V69/12&lt;=(D69+IF(R69&lt;&gt;"",R69,0))*0.05,Y69,X69*H69*V69/12),IF(IF(J69&lt;&gt;"",IF(L69&lt;&gt;"",L69,F69),F69)="이중체감법",IF(X69-X69*H69*V69/12&lt;=E69,Y69,X69*H69*V69/12),Y69*H69*V69/12)))</f>
        <v/>
      </c>
      <c r="AE69" s="6">
        <f>AD69-AC69</f>
        <v/>
      </c>
      <c r="AF69" s="6" t="n">
        <v>0</v>
      </c>
      <c r="AG69" s="6">
        <f>IF(F69="생산량비례법",IF(O69&lt;&gt;"",(D69-E69)*O69/M69,""),(D69+IF(AND(R69&lt;&gt;"",Q69&lt;='기준정보'!$E$4),R69,0))-Z69)</f>
        <v/>
      </c>
      <c r="AH69" s="6">
        <f>AG69-AF69</f>
        <v/>
      </c>
      <c r="AI69" s="6">
        <f>IF(AF69="","",AF69+AC69)</f>
        <v/>
      </c>
      <c r="AJ69" s="6">
        <f>IF(AG69="","",AG69+AD69)</f>
        <v/>
      </c>
      <c r="AK69" s="6">
        <f>AJ69-AI69</f>
        <v/>
      </c>
      <c r="AL69" t="inlineStr">
        <is>
          <t>경미한 차이</t>
        </is>
      </c>
      <c r="AM69" t="inlineStr">
        <is>
          <t>-</t>
        </is>
      </c>
      <c r="AN69" t="inlineStr">
        <is>
          <t>-</t>
        </is>
      </c>
    </row>
    <row r="70">
      <c r="A70" t="inlineStr">
        <is>
          <t>추가취득_정액_03</t>
        </is>
      </c>
      <c r="B70" t="inlineStr">
        <is>
          <t>유형자산</t>
        </is>
      </c>
      <c r="C70" s="4" t="n">
        <v>45658</v>
      </c>
      <c r="D70" s="6" t="n">
        <v>5000000</v>
      </c>
      <c r="E70" s="6" t="n">
        <v>0</v>
      </c>
      <c r="F70" t="inlineStr">
        <is>
          <t>정액법</t>
        </is>
      </c>
      <c r="G70" t="n">
        <v>5</v>
      </c>
      <c r="H70" s="12">
        <f>IF(IF(J70&lt;&gt;"",IF(L70&lt;&gt;"",L70,F70),F70)="정률법",VLOOKUP(IF(J70&lt;&gt;"",K70,G70),'상각률표(별표4)'!$A$2:$C$60,3,FALSE),IF(IF(J70&lt;&gt;"",IF(L70&lt;&gt;"",L70,F70),F70)="생산량비례법","-",IF(IF(J70&lt;&gt;"",IF(L70&lt;&gt;"",L70,F70),F70)="이중체감법",2/IF(J70&lt;&gt;"",K70,G70),IF(IF(J70&lt;&gt;"",IF(L70&lt;&gt;"",L70,F70),F70)="연수합계법",(IF(J70&lt;&gt;"",K70,G70)-('기준정보'!$E$3-YEAR(IF(J70&lt;&gt;"",J70,C70))+1)+1)/(IF(J70&lt;&gt;"",K70,G70)*(IF(J70&lt;&gt;"",K70,G70)+1)/2),12/W70))))</f>
        <v/>
      </c>
      <c r="I70" s="4" t="inlineStr"/>
      <c r="J70" s="4" t="inlineStr"/>
      <c r="K70" t="inlineStr"/>
      <c r="L70" t="inlineStr"/>
      <c r="M70" s="6" t="inlineStr"/>
      <c r="N70" s="6" t="inlineStr"/>
      <c r="O70" s="6" t="inlineStr"/>
      <c r="P70" s="6">
        <f>IF(OR(O70="",N70=""),"",O70+N70)</f>
        <v/>
      </c>
      <c r="Q70" s="4" t="inlineStr"/>
      <c r="R70" s="6" t="inlineStr"/>
      <c r="S70" s="4" t="inlineStr"/>
      <c r="T70" s="4" t="inlineStr"/>
      <c r="U70">
        <f>(YEAR('기준정보'!$E$2)-YEAR(C70))*12+MONTH('기준정보'!$E$2)-MONTH(C70)+1</f>
        <v/>
      </c>
      <c r="V70">
        <f>MAX(0,MAX(0,MIN((IF(J70&lt;&gt;"",YEAR(J70)*12+MONTH(J70),YEAR(C70)*12+MONTH(C70))+W70-1),('기준정보'!$E$3*12+12),IF(I70&lt;&gt;"",YEAR(I70)*12+MONTH(I70),9999999))-MAX(IF(J70&lt;&gt;"",YEAR(J70)*12+MONTH(J70),YEAR(C70)*12+MONTH(C70)),('기준정보'!$E$3*12+1))+1)-IF(S70&lt;&gt;"",MAX(0,MIN(MIN((IF(J70&lt;&gt;"",YEAR(J70)*12+MONTH(J70),YEAR(C70)*12+MONTH(C70))+W70-1),('기준정보'!$E$3*12+12),IF(I70&lt;&gt;"",YEAR(I70)*12+MONTH(I70),9999999)),YEAR(T70)*12+MONTH(T70))-MAX(MAX(IF(J70&lt;&gt;"",YEAR(J70)*12+MONTH(J70),YEAR(C70)*12+MONTH(C70)),('기준정보'!$E$3*12+1)),YEAR(S70)*12+MONTH(S70))+1),0))</f>
        <v/>
      </c>
      <c r="W70">
        <f>IF(J70&lt;&gt;"",K70,G70)*12</f>
        <v/>
      </c>
      <c r="X70" s="6" t="n">
        <v>5000000</v>
      </c>
      <c r="Y70" s="6">
        <f>X70-E70</f>
        <v/>
      </c>
      <c r="Z70" s="6" t="n">
        <v>5000000</v>
      </c>
      <c r="AA70" t="inlineStr">
        <is>
          <t>-</t>
        </is>
      </c>
      <c r="AB70" t="inlineStr">
        <is>
          <t>-</t>
        </is>
      </c>
      <c r="AC70" s="6" t="n">
        <v>1000000</v>
      </c>
      <c r="AD70" s="6">
        <f>IF(IF(J70&lt;&gt;"",IF(L70&lt;&gt;"",L70,F70),F70)="생산량비례법",(D70-E70)*N70/M70,IF(IF(J70&lt;&gt;"",IF(L70&lt;&gt;"",L70,F70),F70)="정률법",IF(X70-X70*H70*V70/12&lt;=(D70+IF(R70&lt;&gt;"",R70,0))*0.05,Y70,X70*H70*V70/12),IF(IF(J70&lt;&gt;"",IF(L70&lt;&gt;"",L70,F70),F70)="이중체감법",IF(X70-X70*H70*V70/12&lt;=E70,Y70,X70*H70*V70/12),Y70*H70*V70/12)))</f>
        <v/>
      </c>
      <c r="AE70" s="6">
        <f>AD70-AC70</f>
        <v/>
      </c>
      <c r="AF70" s="6" t="n">
        <v>0</v>
      </c>
      <c r="AG70" s="6">
        <f>IF(F70="생산량비례법",IF(O70&lt;&gt;"",(D70-E70)*O70/M70,""),(D70+IF(AND(R70&lt;&gt;"",Q70&lt;='기준정보'!$E$4),R70,0))-Z70)</f>
        <v/>
      </c>
      <c r="AH70" s="6">
        <f>AG70-AF70</f>
        <v/>
      </c>
      <c r="AI70" s="6">
        <f>IF(AF70="","",AF70+AC70)</f>
        <v/>
      </c>
      <c r="AJ70" s="6">
        <f>IF(AG70="","",AG70+AD70)</f>
        <v/>
      </c>
      <c r="AK70" s="6">
        <f>AJ70-AI70</f>
        <v/>
      </c>
      <c r="AL70" t="inlineStr">
        <is>
          <t>경미한 차이</t>
        </is>
      </c>
      <c r="AM70" t="inlineStr">
        <is>
          <t>-</t>
        </is>
      </c>
      <c r="AN70" t="inlineStr">
        <is>
          <t>-</t>
        </is>
      </c>
    </row>
    <row r="71">
      <c r="A71" t="inlineStr">
        <is>
          <t>추가취득_정액_04</t>
        </is>
      </c>
      <c r="B71" t="inlineStr">
        <is>
          <t>유형자산</t>
        </is>
      </c>
      <c r="C71" s="4" t="n">
        <v>45992</v>
      </c>
      <c r="D71" s="6" t="n">
        <v>5000000</v>
      </c>
      <c r="E71" s="6" t="n">
        <v>0</v>
      </c>
      <c r="F71" t="inlineStr">
        <is>
          <t>정액법</t>
        </is>
      </c>
      <c r="G71" t="n">
        <v>5</v>
      </c>
      <c r="H71" s="12">
        <f>IF(IF(J71&lt;&gt;"",IF(L71&lt;&gt;"",L71,F71),F71)="정률법",VLOOKUP(IF(J71&lt;&gt;"",K71,G71),'상각률표(별표4)'!$A$2:$C$60,3,FALSE),IF(IF(J71&lt;&gt;"",IF(L71&lt;&gt;"",L71,F71),F71)="생산량비례법","-",IF(IF(J71&lt;&gt;"",IF(L71&lt;&gt;"",L71,F71),F71)="이중체감법",2/IF(J71&lt;&gt;"",K71,G71),IF(IF(J71&lt;&gt;"",IF(L71&lt;&gt;"",L71,F71),F71)="연수합계법",(IF(J71&lt;&gt;"",K71,G71)-('기준정보'!$E$3-YEAR(IF(J71&lt;&gt;"",J71,C71))+1)+1)/(IF(J71&lt;&gt;"",K71,G71)*(IF(J71&lt;&gt;"",K71,G71)+1)/2),12/W71))))</f>
        <v/>
      </c>
      <c r="I71" s="4" t="inlineStr"/>
      <c r="J71" s="4" t="inlineStr"/>
      <c r="K71" t="inlineStr"/>
      <c r="L71" t="inlineStr"/>
      <c r="M71" s="6" t="inlineStr"/>
      <c r="N71" s="6" t="inlineStr"/>
      <c r="O71" s="6" t="inlineStr"/>
      <c r="P71" s="6">
        <f>IF(OR(O71="",N71=""),"",O71+N71)</f>
        <v/>
      </c>
      <c r="Q71" s="4" t="inlineStr"/>
      <c r="R71" s="6" t="inlineStr"/>
      <c r="S71" s="4" t="inlineStr"/>
      <c r="T71" s="4" t="inlineStr"/>
      <c r="U71">
        <f>(YEAR('기준정보'!$E$2)-YEAR(C71))*12+MONTH('기준정보'!$E$2)-MONTH(C71)+1</f>
        <v/>
      </c>
      <c r="V71">
        <f>MAX(0,MAX(0,MIN((IF(J71&lt;&gt;"",YEAR(J71)*12+MONTH(J71),YEAR(C71)*12+MONTH(C71))+W71-1),('기준정보'!$E$3*12+12),IF(I71&lt;&gt;"",YEAR(I71)*12+MONTH(I71),9999999))-MAX(IF(J71&lt;&gt;"",YEAR(J71)*12+MONTH(J71),YEAR(C71)*12+MONTH(C71)),('기준정보'!$E$3*12+1))+1)-IF(S71&lt;&gt;"",MAX(0,MIN(MIN((IF(J71&lt;&gt;"",YEAR(J71)*12+MONTH(J71),YEAR(C71)*12+MONTH(C71))+W71-1),('기준정보'!$E$3*12+12),IF(I71&lt;&gt;"",YEAR(I71)*12+MONTH(I71),9999999)),YEAR(T71)*12+MONTH(T71))-MAX(MAX(IF(J71&lt;&gt;"",YEAR(J71)*12+MONTH(J71),YEAR(C71)*12+MONTH(C71)),('기준정보'!$E$3*12+1)),YEAR(S71)*12+MONTH(S71))+1),0))</f>
        <v/>
      </c>
      <c r="W71">
        <f>IF(J71&lt;&gt;"",K71,G71)*12</f>
        <v/>
      </c>
      <c r="X71" s="6" t="n">
        <v>5000000</v>
      </c>
      <c r="Y71" s="6">
        <f>X71-E71</f>
        <v/>
      </c>
      <c r="Z71" s="6" t="n">
        <v>5000000</v>
      </c>
      <c r="AA71" t="inlineStr">
        <is>
          <t>-</t>
        </is>
      </c>
      <c r="AB71" t="inlineStr">
        <is>
          <t>-</t>
        </is>
      </c>
      <c r="AC71" s="6" t="n">
        <v>83333</v>
      </c>
      <c r="AD71" s="6">
        <f>IF(IF(J71&lt;&gt;"",IF(L71&lt;&gt;"",L71,F71),F71)="생산량비례법",(D71-E71)*N71/M71,IF(IF(J71&lt;&gt;"",IF(L71&lt;&gt;"",L71,F71),F71)="정률법",IF(X71-X71*H71*V71/12&lt;=(D71+IF(R71&lt;&gt;"",R71,0))*0.05,Y71,X71*H71*V71/12),IF(IF(J71&lt;&gt;"",IF(L71&lt;&gt;"",L71,F71),F71)="이중체감법",IF(X71-X71*H71*V71/12&lt;=E71,Y71,X71*H71*V71/12),Y71*H71*V71/12)))</f>
        <v/>
      </c>
      <c r="AE71" s="6">
        <f>AD71-AC71</f>
        <v/>
      </c>
      <c r="AF71" s="6" t="n">
        <v>0</v>
      </c>
      <c r="AG71" s="6">
        <f>IF(F71="생산량비례법",IF(O71&lt;&gt;"",(D71-E71)*O71/M71,""),(D71+IF(AND(R71&lt;&gt;"",Q71&lt;='기준정보'!$E$4),R71,0))-Z71)</f>
        <v/>
      </c>
      <c r="AH71" s="6">
        <f>AG71-AF71</f>
        <v/>
      </c>
      <c r="AI71" s="6">
        <f>IF(AF71="","",AF71+AC71)</f>
        <v/>
      </c>
      <c r="AJ71" s="6">
        <f>IF(AG71="","",AG71+AD71)</f>
        <v/>
      </c>
      <c r="AK71" s="6">
        <f>AJ71-AI71</f>
        <v/>
      </c>
      <c r="AL71" t="inlineStr">
        <is>
          <t>경미한 차이</t>
        </is>
      </c>
      <c r="AM71" t="inlineStr">
        <is>
          <t>-</t>
        </is>
      </c>
      <c r="AN71" t="inlineStr">
        <is>
          <t>-</t>
        </is>
      </c>
    </row>
    <row r="72">
      <c r="A72" t="inlineStr">
        <is>
          <t>추가취득_정률_01</t>
        </is>
      </c>
      <c r="B72" t="inlineStr">
        <is>
          <t>유형자산</t>
        </is>
      </c>
      <c r="C72" s="4" t="n">
        <v>45838</v>
      </c>
      <c r="D72" s="6" t="n">
        <v>6000000</v>
      </c>
      <c r="E72" s="6" t="n">
        <v>0</v>
      </c>
      <c r="F72" t="inlineStr">
        <is>
          <t>정률법</t>
        </is>
      </c>
      <c r="G72" t="n">
        <v>6</v>
      </c>
      <c r="H72" s="12">
        <f>IF(IF(J72&lt;&gt;"",IF(L72&lt;&gt;"",L72,F72),F72)="정률법",VLOOKUP(IF(J72&lt;&gt;"",K72,G72),'상각률표(별표4)'!$A$2:$C$60,3,FALSE),IF(IF(J72&lt;&gt;"",IF(L72&lt;&gt;"",L72,F72),F72)="생산량비례법","-",IF(IF(J72&lt;&gt;"",IF(L72&lt;&gt;"",L72,F72),F72)="이중체감법",2/IF(J72&lt;&gt;"",K72,G72),IF(IF(J72&lt;&gt;"",IF(L72&lt;&gt;"",L72,F72),F72)="연수합계법",(IF(J72&lt;&gt;"",K72,G72)-('기준정보'!$E$3-YEAR(IF(J72&lt;&gt;"",J72,C72))+1)+1)/(IF(J72&lt;&gt;"",K72,G72)*(IF(J72&lt;&gt;"",K72,G72)+1)/2),12/W72))))</f>
        <v/>
      </c>
      <c r="I72" s="4" t="inlineStr"/>
      <c r="J72" s="4" t="inlineStr"/>
      <c r="K72" t="inlineStr"/>
      <c r="L72" t="inlineStr"/>
      <c r="M72" s="6" t="inlineStr"/>
      <c r="N72" s="6" t="inlineStr"/>
      <c r="O72" s="6" t="inlineStr"/>
      <c r="P72" s="6">
        <f>IF(OR(O72="",N72=""),"",O72+N72)</f>
        <v/>
      </c>
      <c r="Q72" s="4" t="inlineStr"/>
      <c r="R72" s="6" t="inlineStr"/>
      <c r="S72" s="4" t="inlineStr"/>
      <c r="T72" s="4" t="inlineStr"/>
      <c r="U72">
        <f>(YEAR('기준정보'!$E$2)-YEAR(C72))*12+MONTH('기준정보'!$E$2)-MONTH(C72)+1</f>
        <v/>
      </c>
      <c r="V72">
        <f>MAX(0,MAX(0,MIN((IF(J72&lt;&gt;"",YEAR(J72)*12+MONTH(J72),YEAR(C72)*12+MONTH(C72))+W72-1),('기준정보'!$E$3*12+12),IF(I72&lt;&gt;"",YEAR(I72)*12+MONTH(I72),9999999))-MAX(IF(J72&lt;&gt;"",YEAR(J72)*12+MONTH(J72),YEAR(C72)*12+MONTH(C72)),('기준정보'!$E$3*12+1))+1)-IF(S72&lt;&gt;"",MAX(0,MIN(MIN((IF(J72&lt;&gt;"",YEAR(J72)*12+MONTH(J72),YEAR(C72)*12+MONTH(C72))+W72-1),('기준정보'!$E$3*12+12),IF(I72&lt;&gt;"",YEAR(I72)*12+MONTH(I72),9999999)),YEAR(T72)*12+MONTH(T72))-MAX(MAX(IF(J72&lt;&gt;"",YEAR(J72)*12+MONTH(J72),YEAR(C72)*12+MONTH(C72)),('기준정보'!$E$3*12+1)),YEAR(S72)*12+MONTH(S72))+1),0))</f>
        <v/>
      </c>
      <c r="W72">
        <f>IF(J72&lt;&gt;"",K72,G72)*12</f>
        <v/>
      </c>
      <c r="X72" s="6" t="n">
        <v>6000000</v>
      </c>
      <c r="Y72" s="6">
        <f>X72-E72</f>
        <v/>
      </c>
      <c r="Z72" s="6" t="n">
        <v>6000000</v>
      </c>
      <c r="AA72" t="inlineStr">
        <is>
          <t>-</t>
        </is>
      </c>
      <c r="AB72" t="inlineStr">
        <is>
          <t>-</t>
        </is>
      </c>
      <c r="AC72" s="6" t="n">
        <v>1379000</v>
      </c>
      <c r="AD72" s="6">
        <f>IF(IF(J72&lt;&gt;"",IF(L72&lt;&gt;"",L72,F72),F72)="생산량비례법",(D72-E72)*N72/M72,IF(IF(J72&lt;&gt;"",IF(L72&lt;&gt;"",L72,F72),F72)="정률법",IF(X72-X72*H72*V72/12&lt;=(D72+IF(R72&lt;&gt;"",R72,0))*0.05,Y72,X72*H72*V72/12),IF(IF(J72&lt;&gt;"",IF(L72&lt;&gt;"",L72,F72),F72)="이중체감법",IF(X72-X72*H72*V72/12&lt;=E72,Y72,X72*H72*V72/12),Y72*H72*V72/12)))</f>
        <v/>
      </c>
      <c r="AE72" s="6">
        <f>AD72-AC72</f>
        <v/>
      </c>
      <c r="AF72" s="6" t="n">
        <v>0</v>
      </c>
      <c r="AG72" s="6">
        <f>IF(F72="생산량비례법",IF(O72&lt;&gt;"",(D72-E72)*O72/M72,""),(D72+IF(AND(R72&lt;&gt;"",Q72&lt;='기준정보'!$E$4),R72,0))-Z72)</f>
        <v/>
      </c>
      <c r="AH72" s="6">
        <f>AG72-AF72</f>
        <v/>
      </c>
      <c r="AI72" s="6">
        <f>IF(AF72="","",AF72+AC72)</f>
        <v/>
      </c>
      <c r="AJ72" s="6">
        <f>IF(AG72="","",AG72+AD72)</f>
        <v/>
      </c>
      <c r="AK72" s="6">
        <f>AJ72-AI72</f>
        <v/>
      </c>
      <c r="AL72" t="inlineStr">
        <is>
          <t>경미한 차이</t>
        </is>
      </c>
      <c r="AM72" t="inlineStr">
        <is>
          <t>-</t>
        </is>
      </c>
      <c r="AN72" t="inlineStr">
        <is>
          <t>-</t>
        </is>
      </c>
    </row>
    <row r="73">
      <c r="A73" t="inlineStr">
        <is>
          <t>추가취득_정률_02</t>
        </is>
      </c>
      <c r="B73" t="inlineStr">
        <is>
          <t>유형자산</t>
        </is>
      </c>
      <c r="C73" s="4" t="n">
        <v>45839</v>
      </c>
      <c r="D73" s="6" t="n">
        <v>6000000</v>
      </c>
      <c r="E73" s="6" t="n">
        <v>0</v>
      </c>
      <c r="F73" t="inlineStr">
        <is>
          <t>정률법</t>
        </is>
      </c>
      <c r="G73" t="n">
        <v>6</v>
      </c>
      <c r="H73" s="12">
        <f>IF(IF(J73&lt;&gt;"",IF(L73&lt;&gt;"",L73,F73),F73)="정률법",VLOOKUP(IF(J73&lt;&gt;"",K73,G73),'상각률표(별표4)'!$A$2:$C$60,3,FALSE),IF(IF(J73&lt;&gt;"",IF(L73&lt;&gt;"",L73,F73),F73)="생산량비례법","-",IF(IF(J73&lt;&gt;"",IF(L73&lt;&gt;"",L73,F73),F73)="이중체감법",2/IF(J73&lt;&gt;"",K73,G73),IF(IF(J73&lt;&gt;"",IF(L73&lt;&gt;"",L73,F73),F73)="연수합계법",(IF(J73&lt;&gt;"",K73,G73)-('기준정보'!$E$3-YEAR(IF(J73&lt;&gt;"",J73,C73))+1)+1)/(IF(J73&lt;&gt;"",K73,G73)*(IF(J73&lt;&gt;"",K73,G73)+1)/2),12/W73))))</f>
        <v/>
      </c>
      <c r="I73" s="4" t="inlineStr"/>
      <c r="J73" s="4" t="inlineStr"/>
      <c r="K73" t="inlineStr"/>
      <c r="L73" t="inlineStr"/>
      <c r="M73" s="6" t="inlineStr"/>
      <c r="N73" s="6" t="inlineStr"/>
      <c r="O73" s="6" t="inlineStr"/>
      <c r="P73" s="6">
        <f>IF(OR(O73="",N73=""),"",O73+N73)</f>
        <v/>
      </c>
      <c r="Q73" s="4" t="inlineStr"/>
      <c r="R73" s="6" t="inlineStr"/>
      <c r="S73" s="4" t="inlineStr"/>
      <c r="T73" s="4" t="inlineStr"/>
      <c r="U73">
        <f>(YEAR('기준정보'!$E$2)-YEAR(C73))*12+MONTH('기준정보'!$E$2)-MONTH(C73)+1</f>
        <v/>
      </c>
      <c r="V73">
        <f>MAX(0,MAX(0,MIN((IF(J73&lt;&gt;"",YEAR(J73)*12+MONTH(J73),YEAR(C73)*12+MONTH(C73))+W73-1),('기준정보'!$E$3*12+12),IF(I73&lt;&gt;"",YEAR(I73)*12+MONTH(I73),9999999))-MAX(IF(J73&lt;&gt;"",YEAR(J73)*12+MONTH(J73),YEAR(C73)*12+MONTH(C73)),('기준정보'!$E$3*12+1))+1)-IF(S73&lt;&gt;"",MAX(0,MIN(MIN((IF(J73&lt;&gt;"",YEAR(J73)*12+MONTH(J73),YEAR(C73)*12+MONTH(C73))+W73-1),('기준정보'!$E$3*12+12),IF(I73&lt;&gt;"",YEAR(I73)*12+MONTH(I73),9999999)),YEAR(T73)*12+MONTH(T73))-MAX(MAX(IF(J73&lt;&gt;"",YEAR(J73)*12+MONTH(J73),YEAR(C73)*12+MONTH(C73)),('기준정보'!$E$3*12+1)),YEAR(S73)*12+MONTH(S73))+1),0))</f>
        <v/>
      </c>
      <c r="W73">
        <f>IF(J73&lt;&gt;"",K73,G73)*12</f>
        <v/>
      </c>
      <c r="X73" s="6" t="n">
        <v>6000000</v>
      </c>
      <c r="Y73" s="6">
        <f>X73-E73</f>
        <v/>
      </c>
      <c r="Z73" s="6" t="n">
        <v>6000000</v>
      </c>
      <c r="AA73" t="inlineStr">
        <is>
          <t>-</t>
        </is>
      </c>
      <c r="AB73" t="inlineStr">
        <is>
          <t>-</t>
        </is>
      </c>
      <c r="AC73" s="6" t="n">
        <v>1182000</v>
      </c>
      <c r="AD73" s="6">
        <f>IF(IF(J73&lt;&gt;"",IF(L73&lt;&gt;"",L73,F73),F73)="생산량비례법",(D73-E73)*N73/M73,IF(IF(J73&lt;&gt;"",IF(L73&lt;&gt;"",L73,F73),F73)="정률법",IF(X73-X73*H73*V73/12&lt;=(D73+IF(R73&lt;&gt;"",R73,0))*0.05,Y73,X73*H73*V73/12),IF(IF(J73&lt;&gt;"",IF(L73&lt;&gt;"",L73,F73),F73)="이중체감법",IF(X73-X73*H73*V73/12&lt;=E73,Y73,X73*H73*V73/12),Y73*H73*V73/12)))</f>
        <v/>
      </c>
      <c r="AE73" s="6">
        <f>AD73-AC73</f>
        <v/>
      </c>
      <c r="AF73" s="6" t="n">
        <v>0</v>
      </c>
      <c r="AG73" s="6">
        <f>IF(F73="생산량비례법",IF(O73&lt;&gt;"",(D73-E73)*O73/M73,""),(D73+IF(AND(R73&lt;&gt;"",Q73&lt;='기준정보'!$E$4),R73,0))-Z73)</f>
        <v/>
      </c>
      <c r="AH73" s="6">
        <f>AG73-AF73</f>
        <v/>
      </c>
      <c r="AI73" s="6">
        <f>IF(AF73="","",AF73+AC73)</f>
        <v/>
      </c>
      <c r="AJ73" s="6">
        <f>IF(AG73="","",AG73+AD73)</f>
        <v/>
      </c>
      <c r="AK73" s="6">
        <f>AJ73-AI73</f>
        <v/>
      </c>
      <c r="AL73" t="inlineStr">
        <is>
          <t>경미한 차이</t>
        </is>
      </c>
      <c r="AM73" t="inlineStr">
        <is>
          <t>-</t>
        </is>
      </c>
      <c r="AN73" t="inlineStr">
        <is>
          <t>-</t>
        </is>
      </c>
    </row>
    <row r="74">
      <c r="A74" t="inlineStr">
        <is>
          <t>추가취득_정률_03</t>
        </is>
      </c>
      <c r="B74" t="inlineStr">
        <is>
          <t>유형자산</t>
        </is>
      </c>
      <c r="C74" s="4" t="n">
        <v>45658</v>
      </c>
      <c r="D74" s="6" t="n">
        <v>6000000</v>
      </c>
      <c r="E74" s="6" t="n">
        <v>0</v>
      </c>
      <c r="F74" t="inlineStr">
        <is>
          <t>정률법</t>
        </is>
      </c>
      <c r="G74" t="n">
        <v>6</v>
      </c>
      <c r="H74" s="12">
        <f>IF(IF(J74&lt;&gt;"",IF(L74&lt;&gt;"",L74,F74),F74)="정률법",VLOOKUP(IF(J74&lt;&gt;"",K74,G74),'상각률표(별표4)'!$A$2:$C$60,3,FALSE),IF(IF(J74&lt;&gt;"",IF(L74&lt;&gt;"",L74,F74),F74)="생산량비례법","-",IF(IF(J74&lt;&gt;"",IF(L74&lt;&gt;"",L74,F74),F74)="이중체감법",2/IF(J74&lt;&gt;"",K74,G74),IF(IF(J74&lt;&gt;"",IF(L74&lt;&gt;"",L74,F74),F74)="연수합계법",(IF(J74&lt;&gt;"",K74,G74)-('기준정보'!$E$3-YEAR(IF(J74&lt;&gt;"",J74,C74))+1)+1)/(IF(J74&lt;&gt;"",K74,G74)*(IF(J74&lt;&gt;"",K74,G74)+1)/2),12/W74))))</f>
        <v/>
      </c>
      <c r="I74" s="4" t="inlineStr"/>
      <c r="J74" s="4" t="inlineStr"/>
      <c r="K74" t="inlineStr"/>
      <c r="L74" t="inlineStr"/>
      <c r="M74" s="6" t="inlineStr"/>
      <c r="N74" s="6" t="inlineStr"/>
      <c r="O74" s="6" t="inlineStr"/>
      <c r="P74" s="6">
        <f>IF(OR(O74="",N74=""),"",O74+N74)</f>
        <v/>
      </c>
      <c r="Q74" s="4" t="inlineStr"/>
      <c r="R74" s="6" t="inlineStr"/>
      <c r="S74" s="4" t="inlineStr"/>
      <c r="T74" s="4" t="inlineStr"/>
      <c r="U74">
        <f>(YEAR('기준정보'!$E$2)-YEAR(C74))*12+MONTH('기준정보'!$E$2)-MONTH(C74)+1</f>
        <v/>
      </c>
      <c r="V74">
        <f>MAX(0,MAX(0,MIN((IF(J74&lt;&gt;"",YEAR(J74)*12+MONTH(J74),YEAR(C74)*12+MONTH(C74))+W74-1),('기준정보'!$E$3*12+12),IF(I74&lt;&gt;"",YEAR(I74)*12+MONTH(I74),9999999))-MAX(IF(J74&lt;&gt;"",YEAR(J74)*12+MONTH(J74),YEAR(C74)*12+MONTH(C74)),('기준정보'!$E$3*12+1))+1)-IF(S74&lt;&gt;"",MAX(0,MIN(MIN((IF(J74&lt;&gt;"",YEAR(J74)*12+MONTH(J74),YEAR(C74)*12+MONTH(C74))+W74-1),('기준정보'!$E$3*12+12),IF(I74&lt;&gt;"",YEAR(I74)*12+MONTH(I74),9999999)),YEAR(T74)*12+MONTH(T74))-MAX(MAX(IF(J74&lt;&gt;"",YEAR(J74)*12+MONTH(J74),YEAR(C74)*12+MONTH(C74)),('기준정보'!$E$3*12+1)),YEAR(S74)*12+MONTH(S74))+1),0))</f>
        <v/>
      </c>
      <c r="W74">
        <f>IF(J74&lt;&gt;"",K74,G74)*12</f>
        <v/>
      </c>
      <c r="X74" s="6" t="n">
        <v>6000000</v>
      </c>
      <c r="Y74" s="6">
        <f>X74-E74</f>
        <v/>
      </c>
      <c r="Z74" s="6" t="n">
        <v>6000000</v>
      </c>
      <c r="AA74" t="inlineStr">
        <is>
          <t>-</t>
        </is>
      </c>
      <c r="AB74" t="inlineStr">
        <is>
          <t>-</t>
        </is>
      </c>
      <c r="AC74" s="6" t="n">
        <v>2364000</v>
      </c>
      <c r="AD74" s="6">
        <f>IF(IF(J74&lt;&gt;"",IF(L74&lt;&gt;"",L74,F74),F74)="생산량비례법",(D74-E74)*N74/M74,IF(IF(J74&lt;&gt;"",IF(L74&lt;&gt;"",L74,F74),F74)="정률법",IF(X74-X74*H74*V74/12&lt;=(D74+IF(R74&lt;&gt;"",R74,0))*0.05,Y74,X74*H74*V74/12),IF(IF(J74&lt;&gt;"",IF(L74&lt;&gt;"",L74,F74),F74)="이중체감법",IF(X74-X74*H74*V74/12&lt;=E74,Y74,X74*H74*V74/12),Y74*H74*V74/12)))</f>
        <v/>
      </c>
      <c r="AE74" s="6">
        <f>AD74-AC74</f>
        <v/>
      </c>
      <c r="AF74" s="6" t="n">
        <v>0</v>
      </c>
      <c r="AG74" s="6">
        <f>IF(F74="생산량비례법",IF(O74&lt;&gt;"",(D74-E74)*O74/M74,""),(D74+IF(AND(R74&lt;&gt;"",Q74&lt;='기준정보'!$E$4),R74,0))-Z74)</f>
        <v/>
      </c>
      <c r="AH74" s="6">
        <f>AG74-AF74</f>
        <v/>
      </c>
      <c r="AI74" s="6">
        <f>IF(AF74="","",AF74+AC74)</f>
        <v/>
      </c>
      <c r="AJ74" s="6">
        <f>IF(AG74="","",AG74+AD74)</f>
        <v/>
      </c>
      <c r="AK74" s="6">
        <f>AJ74-AI74</f>
        <v/>
      </c>
      <c r="AL74" t="inlineStr">
        <is>
          <t>경미한 차이</t>
        </is>
      </c>
      <c r="AM74" t="inlineStr">
        <is>
          <t>-</t>
        </is>
      </c>
      <c r="AN74" t="inlineStr">
        <is>
          <t>-</t>
        </is>
      </c>
    </row>
    <row r="75">
      <c r="A75" t="inlineStr">
        <is>
          <t>추가취득_정률_04</t>
        </is>
      </c>
      <c r="B75" t="inlineStr">
        <is>
          <t>유형자산</t>
        </is>
      </c>
      <c r="C75" s="4" t="n">
        <v>45992</v>
      </c>
      <c r="D75" s="6" t="n">
        <v>6000000</v>
      </c>
      <c r="E75" s="6" t="n">
        <v>0</v>
      </c>
      <c r="F75" t="inlineStr">
        <is>
          <t>정률법</t>
        </is>
      </c>
      <c r="G75" t="n">
        <v>6</v>
      </c>
      <c r="H75" s="12">
        <f>IF(IF(J75&lt;&gt;"",IF(L75&lt;&gt;"",L75,F75),F75)="정률법",VLOOKUP(IF(J75&lt;&gt;"",K75,G75),'상각률표(별표4)'!$A$2:$C$60,3,FALSE),IF(IF(J75&lt;&gt;"",IF(L75&lt;&gt;"",L75,F75),F75)="생산량비례법","-",IF(IF(J75&lt;&gt;"",IF(L75&lt;&gt;"",L75,F75),F75)="이중체감법",2/IF(J75&lt;&gt;"",K75,G75),IF(IF(J75&lt;&gt;"",IF(L75&lt;&gt;"",L75,F75),F75)="연수합계법",(IF(J75&lt;&gt;"",K75,G75)-('기준정보'!$E$3-YEAR(IF(J75&lt;&gt;"",J75,C75))+1)+1)/(IF(J75&lt;&gt;"",K75,G75)*(IF(J75&lt;&gt;"",K75,G75)+1)/2),12/W75))))</f>
        <v/>
      </c>
      <c r="I75" s="4" t="inlineStr"/>
      <c r="J75" s="4" t="inlineStr"/>
      <c r="K75" t="inlineStr"/>
      <c r="L75" t="inlineStr"/>
      <c r="M75" s="6" t="inlineStr"/>
      <c r="N75" s="6" t="inlineStr"/>
      <c r="O75" s="6" t="inlineStr"/>
      <c r="P75" s="6">
        <f>IF(OR(O75="",N75=""),"",O75+N75)</f>
        <v/>
      </c>
      <c r="Q75" s="4" t="inlineStr"/>
      <c r="R75" s="6" t="inlineStr"/>
      <c r="S75" s="4" t="inlineStr"/>
      <c r="T75" s="4" t="inlineStr"/>
      <c r="U75">
        <f>(YEAR('기준정보'!$E$2)-YEAR(C75))*12+MONTH('기준정보'!$E$2)-MONTH(C75)+1</f>
        <v/>
      </c>
      <c r="V75">
        <f>MAX(0,MAX(0,MIN((IF(J75&lt;&gt;"",YEAR(J75)*12+MONTH(J75),YEAR(C75)*12+MONTH(C75))+W75-1),('기준정보'!$E$3*12+12),IF(I75&lt;&gt;"",YEAR(I75)*12+MONTH(I75),9999999))-MAX(IF(J75&lt;&gt;"",YEAR(J75)*12+MONTH(J75),YEAR(C75)*12+MONTH(C75)),('기준정보'!$E$3*12+1))+1)-IF(S75&lt;&gt;"",MAX(0,MIN(MIN((IF(J75&lt;&gt;"",YEAR(J75)*12+MONTH(J75),YEAR(C75)*12+MONTH(C75))+W75-1),('기준정보'!$E$3*12+12),IF(I75&lt;&gt;"",YEAR(I75)*12+MONTH(I75),9999999)),YEAR(T75)*12+MONTH(T75))-MAX(MAX(IF(J75&lt;&gt;"",YEAR(J75)*12+MONTH(J75),YEAR(C75)*12+MONTH(C75)),('기준정보'!$E$3*12+1)),YEAR(S75)*12+MONTH(S75))+1),0))</f>
        <v/>
      </c>
      <c r="W75">
        <f>IF(J75&lt;&gt;"",K75,G75)*12</f>
        <v/>
      </c>
      <c r="X75" s="6" t="n">
        <v>6000000</v>
      </c>
      <c r="Y75" s="6">
        <f>X75-E75</f>
        <v/>
      </c>
      <c r="Z75" s="6" t="n">
        <v>6000000</v>
      </c>
      <c r="AA75" t="inlineStr">
        <is>
          <t>-</t>
        </is>
      </c>
      <c r="AB75" t="inlineStr">
        <is>
          <t>-</t>
        </is>
      </c>
      <c r="AC75" s="6" t="n">
        <v>197000</v>
      </c>
      <c r="AD75" s="6">
        <f>IF(IF(J75&lt;&gt;"",IF(L75&lt;&gt;"",L75,F75),F75)="생산량비례법",(D75-E75)*N75/M75,IF(IF(J75&lt;&gt;"",IF(L75&lt;&gt;"",L75,F75),F75)="정률법",IF(X75-X75*H75*V75/12&lt;=(D75+IF(R75&lt;&gt;"",R75,0))*0.05,Y75,X75*H75*V75/12),IF(IF(J75&lt;&gt;"",IF(L75&lt;&gt;"",L75,F75),F75)="이중체감법",IF(X75-X75*H75*V75/12&lt;=E75,Y75,X75*H75*V75/12),Y75*H75*V75/12)))</f>
        <v/>
      </c>
      <c r="AE75" s="6">
        <f>AD75-AC75</f>
        <v/>
      </c>
      <c r="AF75" s="6" t="n">
        <v>0</v>
      </c>
      <c r="AG75" s="6">
        <f>IF(F75="생산량비례법",IF(O75&lt;&gt;"",(D75-E75)*O75/M75,""),(D75+IF(AND(R75&lt;&gt;"",Q75&lt;='기준정보'!$E$4),R75,0))-Z75)</f>
        <v/>
      </c>
      <c r="AH75" s="6">
        <f>AG75-AF75</f>
        <v/>
      </c>
      <c r="AI75" s="6">
        <f>IF(AF75="","",AF75+AC75)</f>
        <v/>
      </c>
      <c r="AJ75" s="6">
        <f>IF(AG75="","",AG75+AD75)</f>
        <v/>
      </c>
      <c r="AK75" s="6">
        <f>AJ75-AI75</f>
        <v/>
      </c>
      <c r="AL75" t="inlineStr">
        <is>
          <t>경미한 차이</t>
        </is>
      </c>
      <c r="AM75" t="inlineStr">
        <is>
          <t>-</t>
        </is>
      </c>
      <c r="AN75" t="inlineStr">
        <is>
          <t>-</t>
        </is>
      </c>
    </row>
    <row r="76">
      <c r="A76" t="inlineStr">
        <is>
          <t>조합_capex먼저reest나중</t>
        </is>
      </c>
      <c r="B76" t="inlineStr">
        <is>
          <t>유형자산</t>
        </is>
      </c>
      <c r="C76" s="4" t="n">
        <v>44197</v>
      </c>
      <c r="D76" s="6" t="n">
        <v>10000000</v>
      </c>
      <c r="E76" s="6" t="n">
        <v>0</v>
      </c>
      <c r="F76" t="inlineStr">
        <is>
          <t>정액법</t>
        </is>
      </c>
      <c r="G76" t="n">
        <v>8</v>
      </c>
      <c r="H76" s="12">
        <f>IF(IF(J76&lt;&gt;"",IF(L76&lt;&gt;"",L76,F76),F76)="정률법",VLOOKUP(IF(J76&lt;&gt;"",K76,G76),'상각률표(별표4)'!$A$2:$C$60,3,FALSE),IF(IF(J76&lt;&gt;"",IF(L76&lt;&gt;"",L76,F76),F76)="생산량비례법","-",IF(IF(J76&lt;&gt;"",IF(L76&lt;&gt;"",L76,F76),F76)="이중체감법",2/IF(J76&lt;&gt;"",K76,G76),IF(IF(J76&lt;&gt;"",IF(L76&lt;&gt;"",L76,F76),F76)="연수합계법",(IF(J76&lt;&gt;"",K76,G76)-('기준정보'!$E$3-YEAR(IF(J76&lt;&gt;"",J76,C76))+1)+1)/(IF(J76&lt;&gt;"",K76,G76)*(IF(J76&lt;&gt;"",K76,G76)+1)/2),12/W76))))</f>
        <v/>
      </c>
      <c r="I76" s="4" t="inlineStr"/>
      <c r="J76" s="4" t="n">
        <v>45444</v>
      </c>
      <c r="K76" t="n">
        <v>6</v>
      </c>
      <c r="L76" t="inlineStr"/>
      <c r="M76" s="6" t="inlineStr"/>
      <c r="N76" s="6" t="inlineStr"/>
      <c r="O76" s="6" t="inlineStr"/>
      <c r="P76" s="6">
        <f>IF(OR(O76="",N76=""),"",O76+N76)</f>
        <v/>
      </c>
      <c r="Q76" s="4" t="n">
        <v>44927</v>
      </c>
      <c r="R76" s="6" t="n">
        <v>1000000</v>
      </c>
      <c r="S76" s="4" t="inlineStr"/>
      <c r="T76" s="4" t="inlineStr"/>
      <c r="U76">
        <f>(YEAR('기준정보'!$E$2)-YEAR(C76))*12+MONTH('기준정보'!$E$2)-MONTH(C76)+1</f>
        <v/>
      </c>
      <c r="V76" t="n">
        <v>12</v>
      </c>
      <c r="W76" t="n">
        <v>72</v>
      </c>
      <c r="X76" s="6" t="n">
        <v>6493055.555555556</v>
      </c>
      <c r="Y76" s="6">
        <f>X76-E76</f>
        <v/>
      </c>
      <c r="Z76" s="6" t="n">
        <v>5861786.265432099</v>
      </c>
      <c r="AA76" t="inlineStr">
        <is>
          <t>-</t>
        </is>
      </c>
      <c r="AB76" t="inlineStr">
        <is>
          <t>내용연수재추정(2024-06-01→6년); 자본적지출(2023-01-01→1,000,000원)</t>
        </is>
      </c>
      <c r="AC76" s="6" t="n">
        <v>1082176</v>
      </c>
      <c r="AD76" s="6">
        <f>IF(IF(J76&lt;&gt;"",IF(L76&lt;&gt;"",L76,F76),F76)="생산량비례법",(D76-E76)*N76/M76,IF(IF(J76&lt;&gt;"",IF(L76&lt;&gt;"",L76,F76),F76)="정률법",IF(X76-X76*H76*V76/12&lt;=(D76+IF(R76&lt;&gt;"",R76,0))*0.05,Y76,X76*H76*V76/12),IF(IF(J76&lt;&gt;"",IF(L76&lt;&gt;"",L76,F76),F76)="이중체감법",IF(X76-X76*H76*V76/12&lt;=E76,Y76,X76*H76*V76/12),Y76*H76*V76/12)))</f>
        <v/>
      </c>
      <c r="AE76" s="6">
        <f>AD76-AC76</f>
        <v/>
      </c>
      <c r="AF76" s="6" t="n">
        <v>5138214</v>
      </c>
      <c r="AG76" s="6">
        <f>IF(F76="생산량비례법",IF(O76&lt;&gt;"",(D76-E76)*O76/M76,""),(D76+IF(AND(R76&lt;&gt;"",Q76&lt;='기준정보'!$E$4),R76,0))-Z76)</f>
        <v/>
      </c>
      <c r="AH76" s="6">
        <f>AG76-AF76</f>
        <v/>
      </c>
      <c r="AI76" s="6">
        <f>IF(AF76="","",AF76+AC76)</f>
        <v/>
      </c>
      <c r="AJ76" s="6">
        <f>IF(AG76="","",AG76+AD76)</f>
        <v/>
      </c>
      <c r="AK76" s="6">
        <f>AJ76-AI76</f>
        <v/>
      </c>
      <c r="AL76" t="inlineStr">
        <is>
          <t>경미한 차이</t>
        </is>
      </c>
      <c r="AM76" t="inlineStr">
        <is>
          <t>-</t>
        </is>
      </c>
      <c r="AN76" t="inlineStr">
        <is>
          <t>-</t>
        </is>
      </c>
    </row>
    <row r="77">
      <c r="A77" t="inlineStr">
        <is>
          <t>조합_reest먼저capex나중</t>
        </is>
      </c>
      <c r="B77" t="inlineStr">
        <is>
          <t>유형자산</t>
        </is>
      </c>
      <c r="C77" s="4" t="n">
        <v>44197</v>
      </c>
      <c r="D77" s="6" t="n">
        <v>10000000</v>
      </c>
      <c r="E77" s="6" t="n">
        <v>0</v>
      </c>
      <c r="F77" t="inlineStr">
        <is>
          <t>정액법</t>
        </is>
      </c>
      <c r="G77" t="n">
        <v>8</v>
      </c>
      <c r="H77" s="12">
        <f>IF(IF(J77&lt;&gt;"",IF(L77&lt;&gt;"",L77,F77),F77)="정률법",VLOOKUP(IF(J77&lt;&gt;"",K77,G77),'상각률표(별표4)'!$A$2:$C$60,3,FALSE),IF(IF(J77&lt;&gt;"",IF(L77&lt;&gt;"",L77,F77),F77)="생산량비례법","-",IF(IF(J77&lt;&gt;"",IF(L77&lt;&gt;"",L77,F77),F77)="이중체감법",2/IF(J77&lt;&gt;"",K77,G77),IF(IF(J77&lt;&gt;"",IF(L77&lt;&gt;"",L77,F77),F77)="연수합계법",(IF(J77&lt;&gt;"",K77,G77)-('기준정보'!$E$3-YEAR(IF(J77&lt;&gt;"",J77,C77))+1)+1)/(IF(J77&lt;&gt;"",K77,G77)*(IF(J77&lt;&gt;"",K77,G77)+1)/2),12/W77))))</f>
        <v/>
      </c>
      <c r="I77" s="4" t="inlineStr"/>
      <c r="J77" s="4" t="n">
        <v>44927</v>
      </c>
      <c r="K77" t="n">
        <v>6</v>
      </c>
      <c r="L77" t="inlineStr"/>
      <c r="M77" s="6" t="inlineStr"/>
      <c r="N77" s="6" t="inlineStr"/>
      <c r="O77" s="6" t="inlineStr"/>
      <c r="P77" s="6">
        <f>IF(OR(O77="",N77=""),"",O77+N77)</f>
        <v/>
      </c>
      <c r="Q77" s="4" t="n">
        <v>45444</v>
      </c>
      <c r="R77" s="6" t="n">
        <v>1000000</v>
      </c>
      <c r="S77" s="4" t="inlineStr"/>
      <c r="T77" s="4" t="inlineStr"/>
      <c r="U77">
        <f>(YEAR('기준정보'!$E$2)-YEAR(C77))*12+MONTH('기준정보'!$E$2)-MONTH(C77)+1</f>
        <v/>
      </c>
      <c r="V77" t="n">
        <v>12</v>
      </c>
      <c r="W77" t="n">
        <v>55</v>
      </c>
      <c r="X77" s="6" t="n">
        <v>6729166.666666666</v>
      </c>
      <c r="Y77" s="6">
        <f>X77-E77</f>
        <v/>
      </c>
      <c r="Z77" s="6" t="n">
        <v>5872727.272727272</v>
      </c>
      <c r="AA77" t="inlineStr">
        <is>
          <t>-</t>
        </is>
      </c>
      <c r="AB77" t="inlineStr">
        <is>
          <t>내용연수재추정(2023-01-01→6년); 자본적지출(2024-06-01→1,000,000원)</t>
        </is>
      </c>
      <c r="AC77" s="6" t="n">
        <v>1468182</v>
      </c>
      <c r="AD77" s="6">
        <f>IF(IF(J77&lt;&gt;"",IF(L77&lt;&gt;"",L77,F77),F77)="생산량비례법",(D77-E77)*N77/M77,IF(IF(J77&lt;&gt;"",IF(L77&lt;&gt;"",L77,F77),F77)="정률법",IF(X77-X77*H77*V77/12&lt;=(D77+IF(R77&lt;&gt;"",R77,0))*0.05,Y77,X77*H77*V77/12),IF(IF(J77&lt;&gt;"",IF(L77&lt;&gt;"",L77,F77),F77)="이중체감법",IF(X77-X77*H77*V77/12&lt;=E77,Y77,X77*H77*V77/12),Y77*H77*V77/12)))</f>
        <v/>
      </c>
      <c r="AE77" s="6">
        <f>AD77-AC77</f>
        <v/>
      </c>
      <c r="AF77" s="6" t="n">
        <v>5127273</v>
      </c>
      <c r="AG77" s="6">
        <f>IF(F77="생산량비례법",IF(O77&lt;&gt;"",(D77-E77)*O77/M77,""),(D77+IF(AND(R77&lt;&gt;"",Q77&lt;='기준정보'!$E$4),R77,0))-Z77)</f>
        <v/>
      </c>
      <c r="AH77" s="6">
        <f>AG77-AF77</f>
        <v/>
      </c>
      <c r="AI77" s="6">
        <f>IF(AF77="","",AF77+AC77)</f>
        <v/>
      </c>
      <c r="AJ77" s="6">
        <f>IF(AG77="","",AG77+AD77)</f>
        <v/>
      </c>
      <c r="AK77" s="6">
        <f>AJ77-AI77</f>
        <v/>
      </c>
      <c r="AL77" t="inlineStr">
        <is>
          <t>경미한 차이</t>
        </is>
      </c>
      <c r="AM77" t="inlineStr">
        <is>
          <t>-</t>
        </is>
      </c>
      <c r="AN77" t="inlineStr">
        <is>
          <t>-</t>
        </is>
      </c>
    </row>
    <row r="78">
      <c r="A78" t="inlineStr">
        <is>
          <t>조합_capex중단_01</t>
        </is>
      </c>
      <c r="B78" t="inlineStr">
        <is>
          <t>유형자산</t>
        </is>
      </c>
      <c r="C78" s="4" t="n">
        <v>44197</v>
      </c>
      <c r="D78" s="6" t="n">
        <v>9000000</v>
      </c>
      <c r="E78" s="6" t="n">
        <v>0</v>
      </c>
      <c r="F78" t="inlineStr">
        <is>
          <t>정액법</t>
        </is>
      </c>
      <c r="G78" t="n">
        <v>6</v>
      </c>
      <c r="H78" s="12">
        <f>IF(IF(J78&lt;&gt;"",IF(L78&lt;&gt;"",L78,F78),F78)="정률법",VLOOKUP(IF(J78&lt;&gt;"",K78,G78),'상각률표(별표4)'!$A$2:$C$60,3,FALSE),IF(IF(J78&lt;&gt;"",IF(L78&lt;&gt;"",L78,F78),F78)="생산량비례법","-",IF(IF(J78&lt;&gt;"",IF(L78&lt;&gt;"",L78,F78),F78)="이중체감법",2/IF(J78&lt;&gt;"",K78,G78),IF(IF(J78&lt;&gt;"",IF(L78&lt;&gt;"",L78,F78),F78)="연수합계법",(IF(J78&lt;&gt;"",K78,G78)-('기준정보'!$E$3-YEAR(IF(J78&lt;&gt;"",J78,C78))+1)+1)/(IF(J78&lt;&gt;"",K78,G78)*(IF(J78&lt;&gt;"",K78,G78)+1)/2),12/W78))))</f>
        <v/>
      </c>
      <c r="I78" s="4" t="inlineStr"/>
      <c r="J78" s="4" t="inlineStr"/>
      <c r="K78" t="inlineStr"/>
      <c r="L78" t="inlineStr"/>
      <c r="M78" s="6" t="inlineStr"/>
      <c r="N78" s="6" t="inlineStr"/>
      <c r="O78" s="6" t="inlineStr"/>
      <c r="P78" s="6">
        <f>IF(OR(O78="",N78=""),"",O78+N78)</f>
        <v/>
      </c>
      <c r="Q78" s="4" t="n">
        <v>44927</v>
      </c>
      <c r="R78" s="6" t="n">
        <v>1500000</v>
      </c>
      <c r="S78" s="4" t="n">
        <v>45352</v>
      </c>
      <c r="T78" s="4" t="n">
        <v>45535</v>
      </c>
      <c r="U78">
        <f>(YEAR('기준정보'!$E$2)-YEAR(C78))*12+MONTH('기준정보'!$E$2)-MONTH(C78)+1</f>
        <v/>
      </c>
      <c r="V78" t="n">
        <v>12</v>
      </c>
      <c r="W78" t="n">
        <v>48</v>
      </c>
      <c r="X78" s="6" t="n">
        <v>7500000</v>
      </c>
      <c r="Y78" s="6">
        <f>X78-E78</f>
        <v/>
      </c>
      <c r="Z78" s="6" t="n">
        <v>4687500</v>
      </c>
      <c r="AA78" t="inlineStr">
        <is>
          <t>-</t>
        </is>
      </c>
      <c r="AB78" t="inlineStr">
        <is>
          <t>자본적지출(2023-01-01→1,500,000원); 상각중단(2024-03-01~2024-08-31)</t>
        </is>
      </c>
      <c r="AC78" s="6" t="n">
        <v>1875000</v>
      </c>
      <c r="AD78" s="6">
        <f>IF(IF(J78&lt;&gt;"",IF(L78&lt;&gt;"",L78,F78),F78)="생산량비례법",(D78-E78)*N78/M78,IF(IF(J78&lt;&gt;"",IF(L78&lt;&gt;"",L78,F78),F78)="정률법",IF(X78-X78*H78*V78/12&lt;=(D78+IF(R78&lt;&gt;"",R78,0))*0.05,Y78,X78*H78*V78/12),IF(IF(J78&lt;&gt;"",IF(L78&lt;&gt;"",L78,F78),F78)="이중체감법",IF(X78-X78*H78*V78/12&lt;=E78,Y78,X78*H78*V78/12),Y78*H78*V78/12)))</f>
        <v/>
      </c>
      <c r="AE78" s="6">
        <f>AD78-AC78</f>
        <v/>
      </c>
      <c r="AF78" s="6" t="n">
        <v>5812500</v>
      </c>
      <c r="AG78" s="6">
        <f>IF(F78="생산량비례법",IF(O78&lt;&gt;"",(D78-E78)*O78/M78,""),(D78+IF(AND(R78&lt;&gt;"",Q78&lt;='기준정보'!$E$4),R78,0))-Z78)</f>
        <v/>
      </c>
      <c r="AH78" s="6">
        <f>AG78-AF78</f>
        <v/>
      </c>
      <c r="AI78" s="6">
        <f>IF(AF78="","",AF78+AC78)</f>
        <v/>
      </c>
      <c r="AJ78" s="6">
        <f>IF(AG78="","",AG78+AD78)</f>
        <v/>
      </c>
      <c r="AK78" s="6">
        <f>AJ78-AI78</f>
        <v/>
      </c>
      <c r="AL78" t="inlineStr">
        <is>
          <t>경미한 차이</t>
        </is>
      </c>
      <c r="AM78" t="inlineStr">
        <is>
          <t>-</t>
        </is>
      </c>
      <c r="AN78" t="inlineStr">
        <is>
          <t>-</t>
        </is>
      </c>
    </row>
    <row r="79">
      <c r="A79" t="inlineStr">
        <is>
          <t>조합_capex중단_02</t>
        </is>
      </c>
      <c r="B79" t="inlineStr">
        <is>
          <t>무형자산</t>
        </is>
      </c>
      <c r="C79" s="4" t="n">
        <v>44197</v>
      </c>
      <c r="D79" s="6" t="n">
        <v>8500000</v>
      </c>
      <c r="E79" s="6" t="n">
        <v>0</v>
      </c>
      <c r="F79" t="inlineStr">
        <is>
          <t>정률법</t>
        </is>
      </c>
      <c r="G79" t="n">
        <v>6</v>
      </c>
      <c r="H79" s="12">
        <f>IF(IF(J79&lt;&gt;"",IF(L79&lt;&gt;"",L79,F79),F79)="정률법",VLOOKUP(IF(J79&lt;&gt;"",K79,G79),'상각률표(별표4)'!$A$2:$C$60,3,FALSE),IF(IF(J79&lt;&gt;"",IF(L79&lt;&gt;"",L79,F79),F79)="생산량비례법","-",IF(IF(J79&lt;&gt;"",IF(L79&lt;&gt;"",L79,F79),F79)="이중체감법",2/IF(J79&lt;&gt;"",K79,G79),IF(IF(J79&lt;&gt;"",IF(L79&lt;&gt;"",L79,F79),F79)="연수합계법",(IF(J79&lt;&gt;"",K79,G79)-('기준정보'!$E$3-YEAR(IF(J79&lt;&gt;"",J79,C79))+1)+1)/(IF(J79&lt;&gt;"",K79,G79)*(IF(J79&lt;&gt;"",K79,G79)+1)/2),12/W79))))</f>
        <v/>
      </c>
      <c r="I79" s="4" t="inlineStr"/>
      <c r="J79" s="4" t="inlineStr"/>
      <c r="K79" t="inlineStr"/>
      <c r="L79" t="inlineStr"/>
      <c r="M79" s="6" t="inlineStr"/>
      <c r="N79" s="6" t="inlineStr"/>
      <c r="O79" s="6" t="inlineStr"/>
      <c r="P79" s="6">
        <f>IF(OR(O79="",N79=""),"",O79+N79)</f>
        <v/>
      </c>
      <c r="Q79" s="4" t="n">
        <v>45078</v>
      </c>
      <c r="R79" s="6" t="n">
        <v>1200000</v>
      </c>
      <c r="S79" s="4" t="n">
        <v>45292</v>
      </c>
      <c r="T79" s="4" t="n">
        <v>45412</v>
      </c>
      <c r="U79">
        <f>(YEAR('기준정보'!$E$2)-YEAR(C79))*12+MONTH('기준정보'!$E$2)-MONTH(C79)+1</f>
        <v/>
      </c>
      <c r="V79" t="n">
        <v>12</v>
      </c>
      <c r="W79" t="n">
        <v>43</v>
      </c>
      <c r="X79" s="6" t="n">
        <v>2163048.507965543</v>
      </c>
      <c r="Y79" s="6">
        <f>X79-E79</f>
        <v/>
      </c>
      <c r="Z79" s="6" t="n">
        <v>2163048.507965543</v>
      </c>
      <c r="AA79" t="inlineStr">
        <is>
          <t>-</t>
        </is>
      </c>
      <c r="AB79" t="inlineStr">
        <is>
          <t>자본적지출(2023-06-01→1,200,000원); 상각중단(2024-01-01~2024-04-30)</t>
        </is>
      </c>
      <c r="AC79" s="6" t="n">
        <v>852241</v>
      </c>
      <c r="AD79" s="6">
        <f>IF(IF(J79&lt;&gt;"",IF(L79&lt;&gt;"",L79,F79),F79)="생산량비례법",(D79-E79)*N79/M79,IF(IF(J79&lt;&gt;"",IF(L79&lt;&gt;"",L79,F79),F79)="정률법",IF(X79-X79*H79*V79/12&lt;=(D79+IF(R79&lt;&gt;"",R79,0))*0.05,Y79,X79*H79*V79/12),IF(IF(J79&lt;&gt;"",IF(L79&lt;&gt;"",L79,F79),F79)="이중체감법",IF(X79-X79*H79*V79/12&lt;=E79,Y79,X79*H79*V79/12),Y79*H79*V79/12)))</f>
        <v/>
      </c>
      <c r="AE79" s="6">
        <f>AD79-AC79</f>
        <v/>
      </c>
      <c r="AF79" s="6" t="n">
        <v>7536952</v>
      </c>
      <c r="AG79" s="6">
        <f>IF(F79="생산량비례법",IF(O79&lt;&gt;"",(D79-E79)*O79/M79,""),(D79+IF(AND(R79&lt;&gt;"",Q79&lt;='기준정보'!$E$4),R79,0))-Z79)</f>
        <v/>
      </c>
      <c r="AH79" s="6">
        <f>AG79-AF79</f>
        <v/>
      </c>
      <c r="AI79" s="6">
        <f>IF(AF79="","",AF79+AC79)</f>
        <v/>
      </c>
      <c r="AJ79" s="6">
        <f>IF(AG79="","",AG79+AD79)</f>
        <v/>
      </c>
      <c r="AK79" s="6">
        <f>AJ79-AI79</f>
        <v/>
      </c>
      <c r="AL79" t="inlineStr">
        <is>
          <t>경미한 차이</t>
        </is>
      </c>
      <c r="AM79" t="inlineStr">
        <is>
          <t>-</t>
        </is>
      </c>
      <c r="AN79" t="inlineStr">
        <is>
          <t>-</t>
        </is>
      </c>
    </row>
    <row r="80">
      <c r="A80" t="inlineStr">
        <is>
          <t>조합_reest중단_01</t>
        </is>
      </c>
      <c r="B80" t="inlineStr">
        <is>
          <t>유형자산</t>
        </is>
      </c>
      <c r="C80" s="4" t="n">
        <v>44197</v>
      </c>
      <c r="D80" s="6" t="n">
        <v>11000000</v>
      </c>
      <c r="E80" s="6" t="n">
        <v>0</v>
      </c>
      <c r="F80" t="inlineStr">
        <is>
          <t>정액법</t>
        </is>
      </c>
      <c r="G80" t="n">
        <v>7</v>
      </c>
      <c r="H80" s="12">
        <f>IF(IF(J80&lt;&gt;"",IF(L80&lt;&gt;"",L80,F80),F80)="정률법",VLOOKUP(IF(J80&lt;&gt;"",K80,G80),'상각률표(별표4)'!$A$2:$C$60,3,FALSE),IF(IF(J80&lt;&gt;"",IF(L80&lt;&gt;"",L80,F80),F80)="생산량비례법","-",IF(IF(J80&lt;&gt;"",IF(L80&lt;&gt;"",L80,F80),F80)="이중체감법",2/IF(J80&lt;&gt;"",K80,G80),IF(IF(J80&lt;&gt;"",IF(L80&lt;&gt;"",L80,F80),F80)="연수합계법",(IF(J80&lt;&gt;"",K80,G80)-('기준정보'!$E$3-YEAR(IF(J80&lt;&gt;"",J80,C80))+1)+1)/(IF(J80&lt;&gt;"",K80,G80)*(IF(J80&lt;&gt;"",K80,G80)+1)/2),12/W80))))</f>
        <v/>
      </c>
      <c r="I80" s="4" t="inlineStr"/>
      <c r="J80" s="4" t="n">
        <v>44927</v>
      </c>
      <c r="K80" t="n">
        <v>6</v>
      </c>
      <c r="L80" t="inlineStr"/>
      <c r="M80" s="6" t="inlineStr"/>
      <c r="N80" s="6" t="inlineStr"/>
      <c r="O80" s="6" t="inlineStr"/>
      <c r="P80" s="6">
        <f>IF(OR(O80="",N80=""),"",O80+N80)</f>
        <v/>
      </c>
      <c r="Q80" s="4" t="inlineStr"/>
      <c r="R80" s="6" t="inlineStr"/>
      <c r="S80" s="4" t="n">
        <v>45352</v>
      </c>
      <c r="T80" s="4" t="n">
        <v>45565</v>
      </c>
      <c r="U80">
        <f>(YEAR('기준정보'!$E$2)-YEAR(C80))*12+MONTH('기준정보'!$E$2)-MONTH(C80)+1</f>
        <v/>
      </c>
      <c r="V80" t="n">
        <v>12</v>
      </c>
      <c r="W80" t="n">
        <v>72</v>
      </c>
      <c r="X80" s="6" t="n">
        <v>7857142.857142857</v>
      </c>
      <c r="Y80" s="6">
        <f>X80-E80</f>
        <v/>
      </c>
      <c r="Z80" s="6" t="n">
        <v>6001984.126984127</v>
      </c>
      <c r="AA80" t="inlineStr">
        <is>
          <t>-</t>
        </is>
      </c>
      <c r="AB80" t="inlineStr">
        <is>
          <t>내용연수재추정(2023-01-01→6년); 상각중단(2024-03-01~2024-09-30)</t>
        </is>
      </c>
      <c r="AC80" s="6" t="n">
        <v>1309524</v>
      </c>
      <c r="AD80" s="6">
        <f>IF(IF(J80&lt;&gt;"",IF(L80&lt;&gt;"",L80,F80),F80)="생산량비례법",(D80-E80)*N80/M80,IF(IF(J80&lt;&gt;"",IF(L80&lt;&gt;"",L80,F80),F80)="정률법",IF(X80-X80*H80*V80/12&lt;=(D80+IF(R80&lt;&gt;"",R80,0))*0.05,Y80,X80*H80*V80/12),IF(IF(J80&lt;&gt;"",IF(L80&lt;&gt;"",L80,F80),F80)="이중체감법",IF(X80-X80*H80*V80/12&lt;=E80,Y80,X80*H80*V80/12),Y80*H80*V80/12)))</f>
        <v/>
      </c>
      <c r="AE80" s="6">
        <f>AD80-AC80</f>
        <v/>
      </c>
      <c r="AF80" s="6" t="n">
        <v>4998017</v>
      </c>
      <c r="AG80" s="6">
        <f>IF(F80="생산량비례법",IF(O80&lt;&gt;"",(D80-E80)*O80/M80,""),(D80+IF(AND(R80&lt;&gt;"",Q80&lt;='기준정보'!$E$4),R80,0))-Z80)</f>
        <v/>
      </c>
      <c r="AH80" s="6">
        <f>AG80-AF80</f>
        <v/>
      </c>
      <c r="AI80" s="6">
        <f>IF(AF80="","",AF80+AC80)</f>
        <v/>
      </c>
      <c r="AJ80" s="6">
        <f>IF(AG80="","",AG80+AD80)</f>
        <v/>
      </c>
      <c r="AK80" s="6">
        <f>AJ80-AI80</f>
        <v/>
      </c>
      <c r="AL80" t="inlineStr">
        <is>
          <t>경미한 차이</t>
        </is>
      </c>
      <c r="AM80" t="inlineStr">
        <is>
          <t>-</t>
        </is>
      </c>
      <c r="AN80" t="inlineStr">
        <is>
          <t>-</t>
        </is>
      </c>
    </row>
    <row r="81">
      <c r="A81" t="inlineStr">
        <is>
          <t>조합_reest중단_02</t>
        </is>
      </c>
      <c r="B81" t="inlineStr">
        <is>
          <t>유형자산</t>
        </is>
      </c>
      <c r="C81" s="4" t="n">
        <v>43831</v>
      </c>
      <c r="D81" s="6" t="n">
        <v>12000000</v>
      </c>
      <c r="E81" s="6" t="n">
        <v>0</v>
      </c>
      <c r="F81" t="inlineStr">
        <is>
          <t>정률법</t>
        </is>
      </c>
      <c r="G81" t="n">
        <v>7</v>
      </c>
      <c r="H81" s="12">
        <f>IF(IF(J81&lt;&gt;"",IF(L81&lt;&gt;"",L81,F81),F81)="정률법",VLOOKUP(IF(J81&lt;&gt;"",K81,G81),'상각률표(별표4)'!$A$2:$C$60,3,FALSE),IF(IF(J81&lt;&gt;"",IF(L81&lt;&gt;"",L81,F81),F81)="생산량비례법","-",IF(IF(J81&lt;&gt;"",IF(L81&lt;&gt;"",L81,F81),F81)="이중체감법",2/IF(J81&lt;&gt;"",K81,G81),IF(IF(J81&lt;&gt;"",IF(L81&lt;&gt;"",L81,F81),F81)="연수합계법",(IF(J81&lt;&gt;"",K81,G81)-('기준정보'!$E$3-YEAR(IF(J81&lt;&gt;"",J81,C81))+1)+1)/(IF(J81&lt;&gt;"",K81,G81)*(IF(J81&lt;&gt;"",K81,G81)+1)/2),12/W81))))</f>
        <v/>
      </c>
      <c r="I81" s="4" t="inlineStr"/>
      <c r="J81" s="4" t="n">
        <v>44927</v>
      </c>
      <c r="K81" t="n">
        <v>6</v>
      </c>
      <c r="L81" t="inlineStr"/>
      <c r="M81" s="6" t="inlineStr"/>
      <c r="N81" s="6" t="inlineStr"/>
      <c r="O81" s="6" t="inlineStr"/>
      <c r="P81" s="6">
        <f>IF(OR(O81="",N81=""),"",O81+N81)</f>
        <v/>
      </c>
      <c r="Q81" s="4" t="inlineStr"/>
      <c r="R81" s="6" t="inlineStr"/>
      <c r="S81" s="4" t="n">
        <v>45292</v>
      </c>
      <c r="T81" s="4" t="n">
        <v>45443</v>
      </c>
      <c r="U81">
        <f>(YEAR('기준정보'!$E$2)-YEAR(C81))*12+MONTH('기준정보'!$E$2)-MONTH(C81)+1</f>
        <v/>
      </c>
      <c r="V81" t="n">
        <v>12</v>
      </c>
      <c r="W81" t="n">
        <v>72</v>
      </c>
      <c r="X81" s="6" t="n">
        <v>1545188.808782052</v>
      </c>
      <c r="Y81" s="6">
        <f>X81-E81</f>
        <v/>
      </c>
      <c r="Z81" s="6" t="n">
        <v>1545188.808782052</v>
      </c>
      <c r="AA81" t="inlineStr">
        <is>
          <t>-</t>
        </is>
      </c>
      <c r="AB81" t="inlineStr">
        <is>
          <t>내용연수재추정(2023-01-01→6년); 상각중단(2024-01-01~2024-05-31)</t>
        </is>
      </c>
      <c r="AC81" s="6" t="n">
        <v>608804</v>
      </c>
      <c r="AD81" s="6">
        <f>IF(IF(J81&lt;&gt;"",IF(L81&lt;&gt;"",L81,F81),F81)="생산량비례법",(D81-E81)*N81/M81,IF(IF(J81&lt;&gt;"",IF(L81&lt;&gt;"",L81,F81),F81)="정률법",IF(X81-X81*H81*V81/12&lt;=(D81+IF(R81&lt;&gt;"",R81,0))*0.05,Y81,X81*H81*V81/12),IF(IF(J81&lt;&gt;"",IF(L81&lt;&gt;"",L81,F81),F81)="이중체감법",IF(X81-X81*H81*V81/12&lt;=E81,Y81,X81*H81*V81/12),Y81*H81*V81/12)))</f>
        <v/>
      </c>
      <c r="AE81" s="6">
        <f>AD81-AC81</f>
        <v/>
      </c>
      <c r="AF81" s="6" t="n">
        <v>10454812</v>
      </c>
      <c r="AG81" s="6">
        <f>IF(F81="생산량비례법",IF(O81&lt;&gt;"",(D81-E81)*O81/M81,""),(D81+IF(AND(R81&lt;&gt;"",Q81&lt;='기준정보'!$E$4),R81,0))-Z81)</f>
        <v/>
      </c>
      <c r="AH81" s="6">
        <f>AG81-AF81</f>
        <v/>
      </c>
      <c r="AI81" s="6">
        <f>IF(AF81="","",AF81+AC81)</f>
        <v/>
      </c>
      <c r="AJ81" s="6">
        <f>IF(AG81="","",AG81+AD81)</f>
        <v/>
      </c>
      <c r="AK81" s="6">
        <f>AJ81-AI81</f>
        <v/>
      </c>
      <c r="AL81" t="inlineStr">
        <is>
          <t>경미한 차이</t>
        </is>
      </c>
      <c r="AM81" t="inlineStr">
        <is>
          <t>-</t>
        </is>
      </c>
      <c r="AN81" t="inlineStr">
        <is>
          <t>-</t>
        </is>
      </c>
    </row>
    <row r="82">
      <c r="A82" t="inlineStr">
        <is>
          <t>조합_처분capex_01</t>
        </is>
      </c>
      <c r="B82" t="inlineStr">
        <is>
          <t>유형자산</t>
        </is>
      </c>
      <c r="C82" s="4" t="n">
        <v>44562</v>
      </c>
      <c r="D82" s="6" t="n">
        <v>8000000</v>
      </c>
      <c r="E82" s="6" t="n">
        <v>0</v>
      </c>
      <c r="F82" t="inlineStr">
        <is>
          <t>정액법</t>
        </is>
      </c>
      <c r="G82" t="n">
        <v>5</v>
      </c>
      <c r="H82" s="12">
        <f>IF(IF(J82&lt;&gt;"",IF(L82&lt;&gt;"",L82,F82),F82)="정률법",VLOOKUP(IF(J82&lt;&gt;"",K82,G82),'상각률표(별표4)'!$A$2:$C$60,3,FALSE),IF(IF(J82&lt;&gt;"",IF(L82&lt;&gt;"",L82,F82),F82)="생산량비례법","-",IF(IF(J82&lt;&gt;"",IF(L82&lt;&gt;"",L82,F82),F82)="이중체감법",2/IF(J82&lt;&gt;"",K82,G82),IF(IF(J82&lt;&gt;"",IF(L82&lt;&gt;"",L82,F82),F82)="연수합계법",(IF(J82&lt;&gt;"",K82,G82)-('기준정보'!$E$3-YEAR(IF(J82&lt;&gt;"",J82,C82))+1)+1)/(IF(J82&lt;&gt;"",K82,G82)*(IF(J82&lt;&gt;"",K82,G82)+1)/2),12/W82))))</f>
        <v/>
      </c>
      <c r="I82" s="4" t="n">
        <v>45930</v>
      </c>
      <c r="J82" s="4" t="inlineStr"/>
      <c r="K82" t="inlineStr"/>
      <c r="L82" t="inlineStr"/>
      <c r="M82" s="6" t="inlineStr"/>
      <c r="N82" s="6" t="inlineStr"/>
      <c r="O82" s="6" t="inlineStr"/>
      <c r="P82" s="6">
        <f>IF(OR(O82="",N82=""),"",O82+N82)</f>
        <v/>
      </c>
      <c r="Q82" s="4" t="n">
        <v>45292</v>
      </c>
      <c r="R82" s="6" t="n">
        <v>1000000</v>
      </c>
      <c r="S82" s="4" t="inlineStr"/>
      <c r="T82" s="4" t="inlineStr"/>
      <c r="U82">
        <f>(YEAR('기준정보'!$E$2)-YEAR(C82))*12+MONTH('기준정보'!$E$2)-MONTH(C82)+1</f>
        <v/>
      </c>
      <c r="V82" t="n">
        <v>9</v>
      </c>
      <c r="W82" t="n">
        <v>36</v>
      </c>
      <c r="X82" s="6" t="n">
        <v>5800000</v>
      </c>
      <c r="Y82" s="6">
        <f>X82-E82</f>
        <v/>
      </c>
      <c r="Z82" s="6" t="n">
        <v>3866666.666666667</v>
      </c>
      <c r="AA82" t="inlineStr">
        <is>
          <t>-</t>
        </is>
      </c>
      <c r="AB82" t="inlineStr">
        <is>
          <t>당기중처분(2025-09-30); 자본적지출(2024-01-01→1,000,000원)</t>
        </is>
      </c>
      <c r="AC82" s="6" t="n">
        <v>1450000</v>
      </c>
      <c r="AD82" s="6">
        <f>IF(IF(J82&lt;&gt;"",IF(L82&lt;&gt;"",L82,F82),F82)="생산량비례법",(D82-E82)*N82/M82,IF(IF(J82&lt;&gt;"",IF(L82&lt;&gt;"",L82,F82),F82)="정률법",IF(X82-X82*H82*V82/12&lt;=(D82+IF(R82&lt;&gt;"",R82,0))*0.05,Y82,X82*H82*V82/12),IF(IF(J82&lt;&gt;"",IF(L82&lt;&gt;"",L82,F82),F82)="이중체감법",IF(X82-X82*H82*V82/12&lt;=E82,Y82,X82*H82*V82/12),Y82*H82*V82/12)))</f>
        <v/>
      </c>
      <c r="AE82" s="6">
        <f>AD82-AC82</f>
        <v/>
      </c>
      <c r="AF82" s="6" t="n">
        <v>5133333</v>
      </c>
      <c r="AG82" s="6">
        <f>IF(F82="생산량비례법",IF(O82&lt;&gt;"",(D82-E82)*O82/M82,""),(D82+IF(AND(R82&lt;&gt;"",Q82&lt;='기준정보'!$E$4),R82,0))-Z82)</f>
        <v/>
      </c>
      <c r="AH82" s="6">
        <f>AG82-AF82</f>
        <v/>
      </c>
      <c r="AI82" s="6">
        <f>IF(AF82="","",AF82+AC82)</f>
        <v/>
      </c>
      <c r="AJ82" s="6">
        <f>IF(AG82="","",AG82+AD82)</f>
        <v/>
      </c>
      <c r="AK82" s="6">
        <f>AJ82-AI82</f>
        <v/>
      </c>
      <c r="AL82" t="inlineStr">
        <is>
          <t>경미한 차이</t>
        </is>
      </c>
      <c r="AM82" t="inlineStr">
        <is>
          <t>-</t>
        </is>
      </c>
      <c r="AN82" t="inlineStr">
        <is>
          <t>-</t>
        </is>
      </c>
    </row>
    <row r="83">
      <c r="A83" t="inlineStr">
        <is>
          <t>조합_처분capex_02</t>
        </is>
      </c>
      <c r="B83" t="inlineStr">
        <is>
          <t>유형자산</t>
        </is>
      </c>
      <c r="C83" s="4" t="n">
        <v>44197</v>
      </c>
      <c r="D83" s="6" t="n">
        <v>9000000</v>
      </c>
      <c r="E83" s="6" t="n">
        <v>0</v>
      </c>
      <c r="F83" t="inlineStr">
        <is>
          <t>정률법</t>
        </is>
      </c>
      <c r="G83" t="n">
        <v>6</v>
      </c>
      <c r="H83" s="12">
        <f>IF(IF(J83&lt;&gt;"",IF(L83&lt;&gt;"",L83,F83),F83)="정률법",VLOOKUP(IF(J83&lt;&gt;"",K83,G83),'상각률표(별표4)'!$A$2:$C$60,3,FALSE),IF(IF(J83&lt;&gt;"",IF(L83&lt;&gt;"",L83,F83),F83)="생산량비례법","-",IF(IF(J83&lt;&gt;"",IF(L83&lt;&gt;"",L83,F83),F83)="이중체감법",2/IF(J83&lt;&gt;"",K83,G83),IF(IF(J83&lt;&gt;"",IF(L83&lt;&gt;"",L83,F83),F83)="연수합계법",(IF(J83&lt;&gt;"",K83,G83)-('기준정보'!$E$3-YEAR(IF(J83&lt;&gt;"",J83,C83))+1)+1)/(IF(J83&lt;&gt;"",K83,G83)*(IF(J83&lt;&gt;"",K83,G83)+1)/2),12/W83))))</f>
        <v/>
      </c>
      <c r="I83" s="4" t="n">
        <v>45838</v>
      </c>
      <c r="J83" s="4" t="inlineStr"/>
      <c r="K83" t="inlineStr"/>
      <c r="L83" t="inlineStr"/>
      <c r="M83" s="6" t="inlineStr"/>
      <c r="N83" s="6" t="inlineStr"/>
      <c r="O83" s="6" t="inlineStr"/>
      <c r="P83" s="6">
        <f>IF(OR(O83="",N83=""),"",O83+N83)</f>
        <v/>
      </c>
      <c r="Q83" s="4" t="n">
        <v>44927</v>
      </c>
      <c r="R83" s="6" t="n">
        <v>1100000</v>
      </c>
      <c r="S83" s="4" t="inlineStr"/>
      <c r="T83" s="4" t="inlineStr"/>
      <c r="U83">
        <f>(YEAR('기준정보'!$E$2)-YEAR(C83))*12+MONTH('기준정보'!$E$2)-MONTH(C83)+1</f>
        <v/>
      </c>
      <c r="V83" t="n">
        <v>6</v>
      </c>
      <c r="W83" t="n">
        <v>48</v>
      </c>
      <c r="X83" s="6" t="n">
        <v>1617720.117264</v>
      </c>
      <c r="Y83" s="6">
        <f>X83-E83</f>
        <v/>
      </c>
      <c r="Z83" s="6" t="n">
        <v>1617720.117264</v>
      </c>
      <c r="AA83" t="inlineStr">
        <is>
          <t>-</t>
        </is>
      </c>
      <c r="AB83" t="inlineStr">
        <is>
          <t>당기중처분(2025-06-30); 자본적지출(2023-01-01→1,100,000원)</t>
        </is>
      </c>
      <c r="AC83" s="6" t="n">
        <v>318691</v>
      </c>
      <c r="AD83" s="6">
        <f>IF(IF(J83&lt;&gt;"",IF(L83&lt;&gt;"",L83,F83),F83)="생산량비례법",(D83-E83)*N83/M83,IF(IF(J83&lt;&gt;"",IF(L83&lt;&gt;"",L83,F83),F83)="정률법",IF(X83-X83*H83*V83/12&lt;=(D83+IF(R83&lt;&gt;"",R83,0))*0.05,Y83,X83*H83*V83/12),IF(IF(J83&lt;&gt;"",IF(L83&lt;&gt;"",L83,F83),F83)="이중체감법",IF(X83-X83*H83*V83/12&lt;=E83,Y83,X83*H83*V83/12),Y83*H83*V83/12)))</f>
        <v/>
      </c>
      <c r="AE83" s="6">
        <f>AD83-AC83</f>
        <v/>
      </c>
      <c r="AF83" s="6" t="n">
        <v>8482280</v>
      </c>
      <c r="AG83" s="6">
        <f>IF(F83="생산량비례법",IF(O83&lt;&gt;"",(D83-E83)*O83/M83,""),(D83+IF(AND(R83&lt;&gt;"",Q83&lt;='기준정보'!$E$4),R83,0))-Z83)</f>
        <v/>
      </c>
      <c r="AH83" s="6">
        <f>AG83-AF83</f>
        <v/>
      </c>
      <c r="AI83" s="6">
        <f>IF(AF83="","",AF83+AC83)</f>
        <v/>
      </c>
      <c r="AJ83" s="6">
        <f>IF(AG83="","",AG83+AD83)</f>
        <v/>
      </c>
      <c r="AK83" s="6">
        <f>AJ83-AI83</f>
        <v/>
      </c>
      <c r="AL83" t="inlineStr">
        <is>
          <t>경미한 차이</t>
        </is>
      </c>
      <c r="AM83" t="inlineStr">
        <is>
          <t>-</t>
        </is>
      </c>
      <c r="AN83" t="inlineStr">
        <is>
          <t>-</t>
        </is>
      </c>
    </row>
    <row r="84">
      <c r="A84" t="inlineStr">
        <is>
          <t>조합_처분중단_01</t>
        </is>
      </c>
      <c r="B84" t="inlineStr">
        <is>
          <t>무형자산</t>
        </is>
      </c>
      <c r="C84" s="4" t="n">
        <v>44197</v>
      </c>
      <c r="D84" s="6" t="n">
        <v>7000000</v>
      </c>
      <c r="E84" s="6" t="n">
        <v>0</v>
      </c>
      <c r="F84" t="inlineStr">
        <is>
          <t>정액법</t>
        </is>
      </c>
      <c r="G84" t="n">
        <v>5</v>
      </c>
      <c r="H84" s="12">
        <f>IF(IF(J84&lt;&gt;"",IF(L84&lt;&gt;"",L84,F84),F84)="정률법",VLOOKUP(IF(J84&lt;&gt;"",K84,G84),'상각률표(별표4)'!$A$2:$C$60,3,FALSE),IF(IF(J84&lt;&gt;"",IF(L84&lt;&gt;"",L84,F84),F84)="생산량비례법","-",IF(IF(J84&lt;&gt;"",IF(L84&lt;&gt;"",L84,F84),F84)="이중체감법",2/IF(J84&lt;&gt;"",K84,G84),IF(IF(J84&lt;&gt;"",IF(L84&lt;&gt;"",L84,F84),F84)="연수합계법",(IF(J84&lt;&gt;"",K84,G84)-('기준정보'!$E$3-YEAR(IF(J84&lt;&gt;"",J84,C84))+1)+1)/(IF(J84&lt;&gt;"",K84,G84)*(IF(J84&lt;&gt;"",K84,G84)+1)/2),12/W84))))</f>
        <v/>
      </c>
      <c r="I84" s="4" t="n">
        <v>45961</v>
      </c>
      <c r="J84" s="4" t="inlineStr"/>
      <c r="K84" t="inlineStr"/>
      <c r="L84" t="inlineStr"/>
      <c r="M84" s="6" t="inlineStr"/>
      <c r="N84" s="6" t="inlineStr"/>
      <c r="O84" s="6" t="inlineStr"/>
      <c r="P84" s="6">
        <f>IF(OR(O84="",N84=""),"",O84+N84)</f>
        <v/>
      </c>
      <c r="Q84" s="4" t="inlineStr"/>
      <c r="R84" s="6" t="inlineStr"/>
      <c r="S84" s="4" t="n">
        <v>44927</v>
      </c>
      <c r="T84" s="4" t="n">
        <v>45107</v>
      </c>
      <c r="U84">
        <f>(YEAR('기준정보'!$E$2)-YEAR(C84))*12+MONTH('기준정보'!$E$2)-MONTH(C84)+1</f>
        <v/>
      </c>
      <c r="V84" t="n">
        <v>10</v>
      </c>
      <c r="W84" t="n">
        <v>60</v>
      </c>
      <c r="X84" s="6" t="n">
        <v>7000000</v>
      </c>
      <c r="Y84" s="6">
        <f>X84-E84</f>
        <v/>
      </c>
      <c r="Z84" s="6" t="n">
        <v>2100000</v>
      </c>
      <c r="AA84" t="inlineStr">
        <is>
          <t>-</t>
        </is>
      </c>
      <c r="AB84" t="inlineStr">
        <is>
          <t>당기중처분(2025-10-31); 상각중단(2023-01-01~2023-06-30)</t>
        </is>
      </c>
      <c r="AC84" s="6" t="n">
        <v>1166667</v>
      </c>
      <c r="AD84" s="6">
        <f>IF(IF(J84&lt;&gt;"",IF(L84&lt;&gt;"",L84,F84),F84)="생산량비례법",(D84-E84)*N84/M84,IF(IF(J84&lt;&gt;"",IF(L84&lt;&gt;"",L84,F84),F84)="정률법",IF(X84-X84*H84*V84/12&lt;=(D84+IF(R84&lt;&gt;"",R84,0))*0.05,Y84,X84*H84*V84/12),IF(IF(J84&lt;&gt;"",IF(L84&lt;&gt;"",L84,F84),F84)="이중체감법",IF(X84-X84*H84*V84/12&lt;=E84,Y84,X84*H84*V84/12),Y84*H84*V84/12)))</f>
        <v/>
      </c>
      <c r="AE84" s="6">
        <f>AD84-AC84</f>
        <v/>
      </c>
      <c r="AF84" s="6" t="n">
        <v>4900000</v>
      </c>
      <c r="AG84" s="6">
        <f>IF(F84="생산량비례법",IF(O84&lt;&gt;"",(D84-E84)*O84/M84,""),(D84+IF(AND(R84&lt;&gt;"",Q84&lt;='기준정보'!$E$4),R84,0))-Z84)</f>
        <v/>
      </c>
      <c r="AH84" s="6">
        <f>AG84-AF84</f>
        <v/>
      </c>
      <c r="AI84" s="6">
        <f>IF(AF84="","",AF84+AC84)</f>
        <v/>
      </c>
      <c r="AJ84" s="6">
        <f>IF(AG84="","",AG84+AD84)</f>
        <v/>
      </c>
      <c r="AK84" s="6">
        <f>AJ84-AI84</f>
        <v/>
      </c>
      <c r="AL84" t="inlineStr">
        <is>
          <t>경미한 차이</t>
        </is>
      </c>
      <c r="AM84" t="inlineStr">
        <is>
          <t>-</t>
        </is>
      </c>
      <c r="AN84" t="inlineStr">
        <is>
          <t>-</t>
        </is>
      </c>
    </row>
    <row r="85">
      <c r="A85" t="inlineStr">
        <is>
          <t>조합_처분중단_02</t>
        </is>
      </c>
      <c r="B85" t="inlineStr">
        <is>
          <t>유형자산</t>
        </is>
      </c>
      <c r="C85" s="4" t="n">
        <v>43831</v>
      </c>
      <c r="D85" s="6" t="n">
        <v>10500000</v>
      </c>
      <c r="E85" s="6" t="n">
        <v>0</v>
      </c>
      <c r="F85" t="inlineStr">
        <is>
          <t>정률법</t>
        </is>
      </c>
      <c r="G85" t="n">
        <v>6</v>
      </c>
      <c r="H85" s="12">
        <f>IF(IF(J85&lt;&gt;"",IF(L85&lt;&gt;"",L85,F85),F85)="정률법",VLOOKUP(IF(J85&lt;&gt;"",K85,G85),'상각률표(별표4)'!$A$2:$C$60,3,FALSE),IF(IF(J85&lt;&gt;"",IF(L85&lt;&gt;"",L85,F85),F85)="생산량비례법","-",IF(IF(J85&lt;&gt;"",IF(L85&lt;&gt;"",L85,F85),F85)="이중체감법",2/IF(J85&lt;&gt;"",K85,G85),IF(IF(J85&lt;&gt;"",IF(L85&lt;&gt;"",L85,F85),F85)="연수합계법",(IF(J85&lt;&gt;"",K85,G85)-('기준정보'!$E$3-YEAR(IF(J85&lt;&gt;"",J85,C85))+1)+1)/(IF(J85&lt;&gt;"",K85,G85)*(IF(J85&lt;&gt;"",K85,G85)+1)/2),12/W85))))</f>
        <v/>
      </c>
      <c r="I85" s="4" t="n">
        <v>45808</v>
      </c>
      <c r="J85" s="4" t="inlineStr"/>
      <c r="K85" t="inlineStr"/>
      <c r="L85" t="inlineStr"/>
      <c r="M85" s="6" t="inlineStr"/>
      <c r="N85" s="6" t="inlineStr"/>
      <c r="O85" s="6" t="inlineStr"/>
      <c r="P85" s="6">
        <f>IF(OR(O85="",N85=""),"",O85+N85)</f>
        <v/>
      </c>
      <c r="Q85" s="4" t="inlineStr"/>
      <c r="R85" s="6" t="inlineStr"/>
      <c r="S85" s="4" t="n">
        <v>44562</v>
      </c>
      <c r="T85" s="4" t="n">
        <v>44804</v>
      </c>
      <c r="U85">
        <f>(YEAR('기준정보'!$E$2)-YEAR(C85))*12+MONTH('기준정보'!$E$2)-MONTH(C85)+1</f>
        <v/>
      </c>
      <c r="V85" t="n">
        <v>5</v>
      </c>
      <c r="W85" t="n">
        <v>72</v>
      </c>
      <c r="X85" s="6" t="n">
        <v>1230078.853107216</v>
      </c>
      <c r="Y85" s="6">
        <f>X85-E85</f>
        <v/>
      </c>
      <c r="Z85" s="6" t="n">
        <v>1230078.853107216</v>
      </c>
      <c r="AA85" t="inlineStr">
        <is>
          <t>-</t>
        </is>
      </c>
      <c r="AB85" t="inlineStr">
        <is>
          <t>당기중처분(2025-05-31); 상각중단(2022-01-01~2022-08-31)</t>
        </is>
      </c>
      <c r="AC85" s="6" t="n">
        <v>201938</v>
      </c>
      <c r="AD85" s="6">
        <f>IF(IF(J85&lt;&gt;"",IF(L85&lt;&gt;"",L85,F85),F85)="생산량비례법",(D85-E85)*N85/M85,IF(IF(J85&lt;&gt;"",IF(L85&lt;&gt;"",L85,F85),F85)="정률법",IF(X85-X85*H85*V85/12&lt;=(D85+IF(R85&lt;&gt;"",R85,0))*0.05,Y85,X85*H85*V85/12),IF(IF(J85&lt;&gt;"",IF(L85&lt;&gt;"",L85,F85),F85)="이중체감법",IF(X85-X85*H85*V85/12&lt;=E85,Y85,X85*H85*V85/12),Y85*H85*V85/12)))</f>
        <v/>
      </c>
      <c r="AE85" s="6">
        <f>AD85-AC85</f>
        <v/>
      </c>
      <c r="AF85" s="6" t="n">
        <v>9269920</v>
      </c>
      <c r="AG85" s="6">
        <f>IF(F85="생산량비례법",IF(O85&lt;&gt;"",(D85-E85)*O85/M85,""),(D85+IF(AND(R85&lt;&gt;"",Q85&lt;='기준정보'!$E$4),R85,0))-Z85)</f>
        <v/>
      </c>
      <c r="AH85" s="6">
        <f>AG85-AF85</f>
        <v/>
      </c>
      <c r="AI85" s="6">
        <f>IF(AF85="","",AF85+AC85)</f>
        <v/>
      </c>
      <c r="AJ85" s="6">
        <f>IF(AG85="","",AG85+AD85)</f>
        <v/>
      </c>
      <c r="AK85" s="6">
        <f>AJ85-AI85</f>
        <v/>
      </c>
      <c r="AL85" t="inlineStr">
        <is>
          <t>경미한 차이</t>
        </is>
      </c>
      <c r="AM85" t="inlineStr">
        <is>
          <t>-</t>
        </is>
      </c>
      <c r="AN85" t="inlineStr">
        <is>
          <t>-</t>
        </is>
      </c>
    </row>
    <row r="86">
      <c r="A86" t="inlineStr">
        <is>
          <t>조합_처분reest_01</t>
        </is>
      </c>
      <c r="B86" t="inlineStr">
        <is>
          <t>유형자산</t>
        </is>
      </c>
      <c r="C86" s="4" t="n">
        <v>44197</v>
      </c>
      <c r="D86" s="6" t="n">
        <v>9500000</v>
      </c>
      <c r="E86" s="6" t="n">
        <v>0</v>
      </c>
      <c r="F86" t="inlineStr">
        <is>
          <t>정액법</t>
        </is>
      </c>
      <c r="G86" t="n">
        <v>6</v>
      </c>
      <c r="H86" s="12">
        <f>IF(IF(J86&lt;&gt;"",IF(L86&lt;&gt;"",L86,F86),F86)="정률법",VLOOKUP(IF(J86&lt;&gt;"",K86,G86),'상각률표(별표4)'!$A$2:$C$60,3,FALSE),IF(IF(J86&lt;&gt;"",IF(L86&lt;&gt;"",L86,F86),F86)="생산량비례법","-",IF(IF(J86&lt;&gt;"",IF(L86&lt;&gt;"",L86,F86),F86)="이중체감법",2/IF(J86&lt;&gt;"",K86,G86),IF(IF(J86&lt;&gt;"",IF(L86&lt;&gt;"",L86,F86),F86)="연수합계법",(IF(J86&lt;&gt;"",K86,G86)-('기준정보'!$E$3-YEAR(IF(J86&lt;&gt;"",J86,C86))+1)+1)/(IF(J86&lt;&gt;"",K86,G86)*(IF(J86&lt;&gt;"",K86,G86)+1)/2),12/W86))))</f>
        <v/>
      </c>
      <c r="I86" s="4" t="n">
        <v>45900</v>
      </c>
      <c r="J86" s="4" t="n">
        <v>44927</v>
      </c>
      <c r="K86" t="n">
        <v>5</v>
      </c>
      <c r="L86" t="inlineStr"/>
      <c r="M86" s="6" t="inlineStr"/>
      <c r="N86" s="6" t="inlineStr"/>
      <c r="O86" s="6" t="inlineStr"/>
      <c r="P86" s="6">
        <f>IF(OR(O86="",N86=""),"",O86+N86)</f>
        <v/>
      </c>
      <c r="Q86" s="4" t="inlineStr"/>
      <c r="R86" s="6" t="inlineStr"/>
      <c r="S86" s="4" t="inlineStr"/>
      <c r="T86" s="4" t="inlineStr"/>
      <c r="U86">
        <f>(YEAR('기준정보'!$E$2)-YEAR(C86))*12+MONTH('기준정보'!$E$2)-MONTH(C86)+1</f>
        <v/>
      </c>
      <c r="V86">
        <f>MAX(0,MAX(0,MIN((IF(J86&lt;&gt;"",YEAR(J86)*12+MONTH(J86),YEAR(C86)*12+MONTH(C86))+W86-1),('기준정보'!$E$3*12+12),IF(I86&lt;&gt;"",YEAR(I86)*12+MONTH(I86),9999999))-MAX(IF(J86&lt;&gt;"",YEAR(J86)*12+MONTH(J86),YEAR(C86)*12+MONTH(C86)),('기준정보'!$E$3*12+1))+1)-IF(S86&lt;&gt;"",MAX(0,MIN(MIN((IF(J86&lt;&gt;"",YEAR(J86)*12+MONTH(J86),YEAR(C86)*12+MONTH(C86))+W86-1),('기준정보'!$E$3*12+12),IF(I86&lt;&gt;"",YEAR(I86)*12+MONTH(I86),9999999)),YEAR(T86)*12+MONTH(T86))-MAX(MAX(IF(J86&lt;&gt;"",YEAR(J86)*12+MONTH(J86),YEAR(C86)*12+MONTH(C86)),('기준정보'!$E$3*12+1)),YEAR(S86)*12+MONTH(S86))+1),0))</f>
        <v/>
      </c>
      <c r="W86">
        <f>IF(J86&lt;&gt;"",K86,G86)*12</f>
        <v/>
      </c>
      <c r="X86" s="6" t="n">
        <v>6333333.333333334</v>
      </c>
      <c r="Y86" s="6">
        <f>X86-E86</f>
        <v/>
      </c>
      <c r="Z86" s="6" t="n">
        <v>3800000</v>
      </c>
      <c r="AA86" t="inlineStr">
        <is>
          <t>-</t>
        </is>
      </c>
      <c r="AB86" t="inlineStr">
        <is>
          <t>당기중처분(2025-08-31); 내용연수재추정(2023-01-01→5년)</t>
        </is>
      </c>
      <c r="AC86" s="6" t="n">
        <v>844444</v>
      </c>
      <c r="AD86" s="6">
        <f>IF(IF(J86&lt;&gt;"",IF(L86&lt;&gt;"",L86,F86),F86)="생산량비례법",(D86-E86)*N86/M86,IF(IF(J86&lt;&gt;"",IF(L86&lt;&gt;"",L86,F86),F86)="정률법",IF(X86-X86*H86*V86/12&lt;=(D86+IF(R86&lt;&gt;"",R86,0))*0.05,Y86,X86*H86*V86/12),IF(IF(J86&lt;&gt;"",IF(L86&lt;&gt;"",L86,F86),F86)="이중체감법",IF(X86-X86*H86*V86/12&lt;=E86,Y86,X86*H86*V86/12),Y86*H86*V86/12)))</f>
        <v/>
      </c>
      <c r="AE86" s="6">
        <f>AD86-AC86</f>
        <v/>
      </c>
      <c r="AF86" s="6" t="n">
        <v>5700000</v>
      </c>
      <c r="AG86" s="6">
        <f>IF(F86="생산량비례법",IF(O86&lt;&gt;"",(D86-E86)*O86/M86,""),(D86+IF(AND(R86&lt;&gt;"",Q86&lt;='기준정보'!$E$4),R86,0))-Z86)</f>
        <v/>
      </c>
      <c r="AH86" s="6">
        <f>AG86-AF86</f>
        <v/>
      </c>
      <c r="AI86" s="6">
        <f>IF(AF86="","",AF86+AC86)</f>
        <v/>
      </c>
      <c r="AJ86" s="6">
        <f>IF(AG86="","",AG86+AD86)</f>
        <v/>
      </c>
      <c r="AK86" s="6">
        <f>AJ86-AI86</f>
        <v/>
      </c>
      <c r="AL86" t="inlineStr">
        <is>
          <t>경미한 차이</t>
        </is>
      </c>
      <c r="AM86" t="inlineStr">
        <is>
          <t>-</t>
        </is>
      </c>
      <c r="AN86" t="inlineStr">
        <is>
          <t>-</t>
        </is>
      </c>
    </row>
    <row r="87">
      <c r="A87" s="13" t="inlineStr">
        <is>
          <t>조합_처분reest_02</t>
        </is>
      </c>
      <c r="B87" s="13" t="inlineStr">
        <is>
          <t>유형자산</t>
        </is>
      </c>
      <c r="C87" s="14" t="n">
        <v>43831</v>
      </c>
      <c r="D87" s="15" t="n">
        <v>11500000</v>
      </c>
      <c r="E87" s="15" t="n">
        <v>0</v>
      </c>
      <c r="F87" s="13" t="inlineStr">
        <is>
          <t>정률법</t>
        </is>
      </c>
      <c r="G87" s="13" t="n">
        <v>7</v>
      </c>
      <c r="H87" s="16">
        <f>IF(IF(J87&lt;&gt;"",IF(L87&lt;&gt;"",L87,F87),F87)="정률법",VLOOKUP(IF(J87&lt;&gt;"",K87,G87),'상각률표(별표4)'!$A$2:$C$60,3,FALSE),IF(IF(J87&lt;&gt;"",IF(L87&lt;&gt;"",L87,F87),F87)="생산량비례법","-",IF(IF(J87&lt;&gt;"",IF(L87&lt;&gt;"",L87,F87),F87)="이중체감법",2/IF(J87&lt;&gt;"",K87,G87),IF(IF(J87&lt;&gt;"",IF(L87&lt;&gt;"",L87,F87),F87)="연수합계법",(IF(J87&lt;&gt;"",K87,G87)-('기준정보'!$E$3-YEAR(IF(J87&lt;&gt;"",J87,C87))+1)+1)/(IF(J87&lt;&gt;"",K87,G87)*(IF(J87&lt;&gt;"",K87,G87)+1)/2),12/W87))))</f>
        <v/>
      </c>
      <c r="I87" s="14" t="n">
        <v>45747</v>
      </c>
      <c r="J87" s="14" t="n">
        <v>44562</v>
      </c>
      <c r="K87" s="13" t="n">
        <v>5</v>
      </c>
      <c r="L87" s="13" t="inlineStr"/>
      <c r="M87" s="15" t="inlineStr"/>
      <c r="N87" s="15" t="inlineStr"/>
      <c r="O87" s="15" t="inlineStr"/>
      <c r="P87" s="15">
        <f>IF(OR(O87="",N87=""),"",O87+N87)</f>
        <v/>
      </c>
      <c r="Q87" s="14" t="inlineStr"/>
      <c r="R87" s="15" t="inlineStr"/>
      <c r="S87" s="14" t="inlineStr"/>
      <c r="T87" s="14" t="inlineStr"/>
      <c r="U87" s="13">
        <f>(YEAR('기준정보'!$E$2)-YEAR(C87))*12+MONTH('기준정보'!$E$2)-MONTH(C87)+1</f>
        <v/>
      </c>
      <c r="V87" s="13">
        <f>MAX(0,MAX(0,MIN((IF(J87&lt;&gt;"",YEAR(J87)*12+MONTH(J87),YEAR(C87)*12+MONTH(C87))+W87-1),('기준정보'!$E$3*12+12),IF(I87&lt;&gt;"",YEAR(I87)*12+MONTH(I87),9999999))-MAX(IF(J87&lt;&gt;"",YEAR(J87)*12+MONTH(J87),YEAR(C87)*12+MONTH(C87)),('기준정보'!$E$3*12+1))+1)-IF(S87&lt;&gt;"",MAX(0,MIN(MIN((IF(J87&lt;&gt;"",YEAR(J87)*12+MONTH(J87),YEAR(C87)*12+MONTH(C87))+W87-1),('기준정보'!$E$3*12+12),IF(I87&lt;&gt;"",YEAR(I87)*12+MONTH(I87),9999999)),YEAR(T87)*12+MONTH(T87))-MAX(MAX(IF(J87&lt;&gt;"",YEAR(J87)*12+MONTH(J87),YEAR(C87)*12+MONTH(C87)),('기준정보'!$E$3*12+1)),YEAR(S87)*12+MONTH(S87))+1),0))</f>
        <v/>
      </c>
      <c r="W87" s="13">
        <f>IF(J87&lt;&gt;"",K87,G87)*12</f>
        <v/>
      </c>
      <c r="X87" s="15" t="n">
        <v>806448.8943765134</v>
      </c>
      <c r="Y87" s="15">
        <f>X87-E87</f>
        <v/>
      </c>
      <c r="Z87" s="15" t="n">
        <v>806448.8943765134</v>
      </c>
      <c r="AA87" s="13" t="inlineStr">
        <is>
          <t>-</t>
        </is>
      </c>
      <c r="AB87" s="13" t="inlineStr">
        <is>
          <t>당기중처분(2025-03-31); 내용연수재추정(2022-01-01→5년)</t>
        </is>
      </c>
      <c r="AC87" s="15" t="n">
        <v>290927</v>
      </c>
      <c r="AD87" s="15">
        <f>IF(IF(J87&lt;&gt;"",IF(L87&lt;&gt;"",L87,F87),F87)="생산량비례법",(D87-E87)*N87/M87,IF(IF(J87&lt;&gt;"",IF(L87&lt;&gt;"",L87,F87),F87)="정률법",IF(X87-X87*H87*V87/12&lt;=(D87+IF(R87&lt;&gt;"",R87,0))*0.05,Y87,X87*H87*V87/12),IF(IF(J87&lt;&gt;"",IF(L87&lt;&gt;"",L87,F87),F87)="이중체감법",IF(X87-X87*H87*V87/12&lt;=E87,Y87,X87*H87*V87/12),Y87*H87*V87/12)))</f>
        <v/>
      </c>
      <c r="AE87" s="15">
        <f>AD87-AC87</f>
        <v/>
      </c>
      <c r="AF87" s="15" t="n">
        <v>10693552</v>
      </c>
      <c r="AG87" s="15">
        <f>IF(F87="생산량비례법",IF(O87&lt;&gt;"",(D87-E87)*O87/M87,""),(D87+IF(AND(R87&lt;&gt;"",Q87&lt;='기준정보'!$E$4),R87,0))-Z87)</f>
        <v/>
      </c>
      <c r="AH87" s="15">
        <f>AG87-AF87</f>
        <v/>
      </c>
      <c r="AI87" s="15">
        <f>IF(AF87="","",AF87+AC87)</f>
        <v/>
      </c>
      <c r="AJ87" s="15">
        <f>IF(AG87="","",AG87+AD87)</f>
        <v/>
      </c>
      <c r="AK87" s="15">
        <f>AJ87-AI87</f>
        <v/>
      </c>
      <c r="AL87" s="13" t="inlineStr">
        <is>
          <t>경미한 차이</t>
        </is>
      </c>
      <c r="AM87" s="13" t="inlineStr">
        <is>
          <t>처분일 반영 오류 추정(처분일까지의 월할상각 미반영 가능성)</t>
        </is>
      </c>
      <c r="AN87" s="13" t="inlineStr">
        <is>
          <t>규칙</t>
        </is>
      </c>
    </row>
    <row r="88">
      <c r="A88" t="inlineStr">
        <is>
          <t>3조합_capex_reest_중단_01</t>
        </is>
      </c>
      <c r="B88" t="inlineStr">
        <is>
          <t>유형자산</t>
        </is>
      </c>
      <c r="C88" s="4" t="n">
        <v>43831</v>
      </c>
      <c r="D88" s="6" t="n">
        <v>12000000</v>
      </c>
      <c r="E88" s="6" t="n">
        <v>0</v>
      </c>
      <c r="F88" t="inlineStr">
        <is>
          <t>정액법</t>
        </is>
      </c>
      <c r="G88" t="n">
        <v>8</v>
      </c>
      <c r="H88" s="12">
        <f>IF(IF(J88&lt;&gt;"",IF(L88&lt;&gt;"",L88,F88),F88)="정률법",VLOOKUP(IF(J88&lt;&gt;"",K88,G88),'상각률표(별표4)'!$A$2:$C$60,3,FALSE),IF(IF(J88&lt;&gt;"",IF(L88&lt;&gt;"",L88,F88),F88)="생산량비례법","-",IF(IF(J88&lt;&gt;"",IF(L88&lt;&gt;"",L88,F88),F88)="이중체감법",2/IF(J88&lt;&gt;"",K88,G88),IF(IF(J88&lt;&gt;"",IF(L88&lt;&gt;"",L88,F88),F88)="연수합계법",(IF(J88&lt;&gt;"",K88,G88)-('기준정보'!$E$3-YEAR(IF(J88&lt;&gt;"",J88,C88))+1)+1)/(IF(J88&lt;&gt;"",K88,G88)*(IF(J88&lt;&gt;"",K88,G88)+1)/2),12/W88))))</f>
        <v/>
      </c>
      <c r="I88" s="4" t="inlineStr"/>
      <c r="J88" s="4" t="n">
        <v>45292</v>
      </c>
      <c r="K88" t="n">
        <v>6</v>
      </c>
      <c r="L88" t="inlineStr"/>
      <c r="M88" s="6" t="inlineStr"/>
      <c r="N88" s="6" t="inlineStr"/>
      <c r="O88" s="6" t="inlineStr"/>
      <c r="P88" s="6">
        <f>IF(OR(O88="",N88=""),"",O88+N88)</f>
        <v/>
      </c>
      <c r="Q88" s="4" t="n">
        <v>44562</v>
      </c>
      <c r="R88" s="6" t="n">
        <v>1000000</v>
      </c>
      <c r="S88" s="4" t="n">
        <v>45689</v>
      </c>
      <c r="T88" s="4" t="n">
        <v>45869</v>
      </c>
      <c r="U88">
        <f>(YEAR('기준정보'!$E$2)-YEAR(C88))*12+MONTH('기준정보'!$E$2)-MONTH(C88)+1</f>
        <v/>
      </c>
      <c r="V88" t="n">
        <v>6</v>
      </c>
      <c r="W88" t="n">
        <v>72</v>
      </c>
      <c r="X88" s="6" t="n">
        <v>6666666.666666667</v>
      </c>
      <c r="Y88" s="6">
        <f>X88-E88</f>
        <v/>
      </c>
      <c r="Z88" s="6" t="n">
        <v>5555555.555555556</v>
      </c>
      <c r="AA88" t="inlineStr">
        <is>
          <t>-</t>
        </is>
      </c>
      <c r="AB88" t="inlineStr">
        <is>
          <t>내용연수재추정(2024-01-01→6년); 자본적지출(2022-01-01→1,000,000원); 상각중단(2025-02-01~2025-07-31)</t>
        </is>
      </c>
      <c r="AC88" s="6" t="n">
        <v>555556</v>
      </c>
      <c r="AD88" s="6">
        <f>IF(IF(J88&lt;&gt;"",IF(L88&lt;&gt;"",L88,F88),F88)="생산량비례법",(D88-E88)*N88/M88,IF(IF(J88&lt;&gt;"",IF(L88&lt;&gt;"",L88,F88),F88)="정률법",IF(X88-X88*H88*V88/12&lt;=(D88+IF(R88&lt;&gt;"",R88,0))*0.05,Y88,X88*H88*V88/12),IF(IF(J88&lt;&gt;"",IF(L88&lt;&gt;"",L88,F88),F88)="이중체감법",IF(X88-X88*H88*V88/12&lt;=E88,Y88,X88*H88*V88/12),Y88*H88*V88/12)))</f>
        <v/>
      </c>
      <c r="AE88" s="6">
        <f>AD88-AC88</f>
        <v/>
      </c>
      <c r="AF88" s="6" t="n">
        <v>7444445</v>
      </c>
      <c r="AG88" s="6">
        <f>IF(F88="생산량비례법",IF(O88&lt;&gt;"",(D88-E88)*O88/M88,""),(D88+IF(AND(R88&lt;&gt;"",Q88&lt;='기준정보'!$E$4),R88,0))-Z88)</f>
        <v/>
      </c>
      <c r="AH88" s="6">
        <f>AG88-AF88</f>
        <v/>
      </c>
      <c r="AI88" s="6">
        <f>IF(AF88="","",AF88+AC88)</f>
        <v/>
      </c>
      <c r="AJ88" s="6">
        <f>IF(AG88="","",AG88+AD88)</f>
        <v/>
      </c>
      <c r="AK88" s="6">
        <f>AJ88-AI88</f>
        <v/>
      </c>
      <c r="AL88" t="inlineStr">
        <is>
          <t>경미한 차이</t>
        </is>
      </c>
      <c r="AM88" t="inlineStr">
        <is>
          <t>-</t>
        </is>
      </c>
      <c r="AN88" t="inlineStr">
        <is>
          <t>-</t>
        </is>
      </c>
    </row>
    <row r="89">
      <c r="A89" t="inlineStr">
        <is>
          <t>3조합_capex_reest_중단_02</t>
        </is>
      </c>
      <c r="B89" t="inlineStr">
        <is>
          <t>무형자산</t>
        </is>
      </c>
      <c r="C89" s="4" t="n">
        <v>43831</v>
      </c>
      <c r="D89" s="6" t="n">
        <v>13000000</v>
      </c>
      <c r="E89" s="6" t="n">
        <v>0</v>
      </c>
      <c r="F89" t="inlineStr">
        <is>
          <t>정률법</t>
        </is>
      </c>
      <c r="G89" t="n">
        <v>8</v>
      </c>
      <c r="H89" s="12">
        <f>IF(IF(J89&lt;&gt;"",IF(L89&lt;&gt;"",L89,F89),F89)="정률법",VLOOKUP(IF(J89&lt;&gt;"",K89,G89),'상각률표(별표4)'!$A$2:$C$60,3,FALSE),IF(IF(J89&lt;&gt;"",IF(L89&lt;&gt;"",L89,F89),F89)="생산량비례법","-",IF(IF(J89&lt;&gt;"",IF(L89&lt;&gt;"",L89,F89),F89)="이중체감법",2/IF(J89&lt;&gt;"",K89,G89),IF(IF(J89&lt;&gt;"",IF(L89&lt;&gt;"",L89,F89),F89)="연수합계법",(IF(J89&lt;&gt;"",K89,G89)-('기준정보'!$E$3-YEAR(IF(J89&lt;&gt;"",J89,C89))+1)+1)/(IF(J89&lt;&gt;"",K89,G89)*(IF(J89&lt;&gt;"",K89,G89)+1)/2),12/W89))))</f>
        <v/>
      </c>
      <c r="I89" s="4" t="inlineStr"/>
      <c r="J89" s="4" t="n">
        <v>45292</v>
      </c>
      <c r="K89" t="n">
        <v>6</v>
      </c>
      <c r="L89" t="inlineStr"/>
      <c r="M89" s="6" t="inlineStr"/>
      <c r="N89" s="6" t="inlineStr"/>
      <c r="O89" s="6" t="inlineStr"/>
      <c r="P89" s="6">
        <f>IF(OR(O89="",N89=""),"",O89+N89)</f>
        <v/>
      </c>
      <c r="Q89" s="4" t="n">
        <v>44713</v>
      </c>
      <c r="R89" s="6" t="n">
        <v>1100000</v>
      </c>
      <c r="S89" s="4" t="n">
        <v>45658</v>
      </c>
      <c r="T89" s="4" t="n">
        <v>45838</v>
      </c>
      <c r="U89">
        <f>(YEAR('기준정보'!$E$2)-YEAR(C89))*12+MONTH('기준정보'!$E$2)-MONTH(C89)+1</f>
        <v/>
      </c>
      <c r="V89" t="n">
        <v>6</v>
      </c>
      <c r="W89" t="n">
        <v>72</v>
      </c>
      <c r="X89" s="6" t="n">
        <v>2190025.974971586</v>
      </c>
      <c r="Y89" s="6">
        <f>X89-E89</f>
        <v/>
      </c>
      <c r="Z89" s="6" t="n">
        <v>2190025.974971586</v>
      </c>
      <c r="AA89" t="inlineStr">
        <is>
          <t>-</t>
        </is>
      </c>
      <c r="AB89" t="inlineStr">
        <is>
          <t>내용연수재추정(2024-01-01→6년); 자본적지출(2022-06-01→1,100,000원); 상각중단(2025-01-01~2025-06-30)</t>
        </is>
      </c>
      <c r="AC89" s="6" t="n">
        <v>431435</v>
      </c>
      <c r="AD89" s="6">
        <f>IF(IF(J89&lt;&gt;"",IF(L89&lt;&gt;"",L89,F89),F89)="생산량비례법",(D89-E89)*N89/M89,IF(IF(J89&lt;&gt;"",IF(L89&lt;&gt;"",L89,F89),F89)="정률법",IF(X89-X89*H89*V89/12&lt;=(D89+IF(R89&lt;&gt;"",R89,0))*0.05,Y89,X89*H89*V89/12),IF(IF(J89&lt;&gt;"",IF(L89&lt;&gt;"",L89,F89),F89)="이중체감법",IF(X89-X89*H89*V89/12&lt;=E89,Y89,X89*H89*V89/12),Y89*H89*V89/12)))</f>
        <v/>
      </c>
      <c r="AE89" s="6">
        <f>AD89-AC89</f>
        <v/>
      </c>
      <c r="AF89" s="6" t="n">
        <v>11909974</v>
      </c>
      <c r="AG89" s="6">
        <f>IF(F89="생산량비례법",IF(O89&lt;&gt;"",(D89-E89)*O89/M89,""),(D89+IF(AND(R89&lt;&gt;"",Q89&lt;='기준정보'!$E$4),R89,0))-Z89)</f>
        <v/>
      </c>
      <c r="AH89" s="6">
        <f>AG89-AF89</f>
        <v/>
      </c>
      <c r="AI89" s="6">
        <f>IF(AF89="","",AF89+AC89)</f>
        <v/>
      </c>
      <c r="AJ89" s="6">
        <f>IF(AG89="","",AG89+AD89)</f>
        <v/>
      </c>
      <c r="AK89" s="6">
        <f>AJ89-AI89</f>
        <v/>
      </c>
      <c r="AL89" t="inlineStr">
        <is>
          <t>경미한 차이</t>
        </is>
      </c>
      <c r="AM89" t="inlineStr">
        <is>
          <t>-</t>
        </is>
      </c>
      <c r="AN89" t="inlineStr">
        <is>
          <t>-</t>
        </is>
      </c>
    </row>
    <row r="90">
      <c r="A90" t="inlineStr">
        <is>
          <t>3조합_capex_reest_처분_01</t>
        </is>
      </c>
      <c r="B90" t="inlineStr">
        <is>
          <t>유형자산</t>
        </is>
      </c>
      <c r="C90" s="4" t="n">
        <v>43831</v>
      </c>
      <c r="D90" s="6" t="n">
        <v>10000000</v>
      </c>
      <c r="E90" s="6" t="n">
        <v>0</v>
      </c>
      <c r="F90" t="inlineStr">
        <is>
          <t>정액법</t>
        </is>
      </c>
      <c r="G90" t="n">
        <v>8</v>
      </c>
      <c r="H90" s="12">
        <f>IF(IF(J90&lt;&gt;"",IF(L90&lt;&gt;"",L90,F90),F90)="정률법",VLOOKUP(IF(J90&lt;&gt;"",K90,G90),'상각률표(별표4)'!$A$2:$C$60,3,FALSE),IF(IF(J90&lt;&gt;"",IF(L90&lt;&gt;"",L90,F90),F90)="생산량비례법","-",IF(IF(J90&lt;&gt;"",IF(L90&lt;&gt;"",L90,F90),F90)="이중체감법",2/IF(J90&lt;&gt;"",K90,G90),IF(IF(J90&lt;&gt;"",IF(L90&lt;&gt;"",L90,F90),F90)="연수합계법",(IF(J90&lt;&gt;"",K90,G90)-('기준정보'!$E$3-YEAR(IF(J90&lt;&gt;"",J90,C90))+1)+1)/(IF(J90&lt;&gt;"",K90,G90)*(IF(J90&lt;&gt;"",K90,G90)+1)/2),12/W90))))</f>
        <v/>
      </c>
      <c r="I90" s="4" t="n">
        <v>45930</v>
      </c>
      <c r="J90" s="4" t="n">
        <v>44927</v>
      </c>
      <c r="K90" t="n">
        <v>6</v>
      </c>
      <c r="L90" t="inlineStr"/>
      <c r="M90" s="6" t="inlineStr"/>
      <c r="N90" s="6" t="inlineStr"/>
      <c r="O90" s="6" t="inlineStr"/>
      <c r="P90" s="6">
        <f>IF(OR(O90="",N90=""),"",O90+N90)</f>
        <v/>
      </c>
      <c r="Q90" s="4" t="n">
        <v>44562</v>
      </c>
      <c r="R90" s="6" t="n">
        <v>1000000</v>
      </c>
      <c r="S90" s="4" t="inlineStr"/>
      <c r="T90" s="4" t="inlineStr"/>
      <c r="U90">
        <f>(YEAR('기준정보'!$E$2)-YEAR(C90))*12+MONTH('기준정보'!$E$2)-MONTH(C90)+1</f>
        <v/>
      </c>
      <c r="V90" t="n">
        <v>9</v>
      </c>
      <c r="W90" t="n">
        <v>72</v>
      </c>
      <c r="X90" s="6" t="n">
        <v>7083333.333333333</v>
      </c>
      <c r="Y90" s="6">
        <f>X90-E90</f>
        <v/>
      </c>
      <c r="Z90" s="6" t="n">
        <v>4722222.222222222</v>
      </c>
      <c r="AA90" t="inlineStr">
        <is>
          <t>-</t>
        </is>
      </c>
      <c r="AB90" t="inlineStr">
        <is>
          <t>당기중처분(2025-09-30); 내용연수재추정(2023-01-01→6년); 자본적지출(2022-01-01→1,000,000원)</t>
        </is>
      </c>
      <c r="AC90" s="6" t="n">
        <v>885417</v>
      </c>
      <c r="AD90" s="6">
        <f>IF(IF(J90&lt;&gt;"",IF(L90&lt;&gt;"",L90,F90),F90)="생산량비례법",(D90-E90)*N90/M90,IF(IF(J90&lt;&gt;"",IF(L90&lt;&gt;"",L90,F90),F90)="정률법",IF(X90-X90*H90*V90/12&lt;=(D90+IF(R90&lt;&gt;"",R90,0))*0.05,Y90,X90*H90*V90/12),IF(IF(J90&lt;&gt;"",IF(L90&lt;&gt;"",L90,F90),F90)="이중체감법",IF(X90-X90*H90*V90/12&lt;=E90,Y90,X90*H90*V90/12),Y90*H90*V90/12)))</f>
        <v/>
      </c>
      <c r="AE90" s="6">
        <f>AD90-AC90</f>
        <v/>
      </c>
      <c r="AF90" s="6" t="n">
        <v>5577779</v>
      </c>
      <c r="AG90" s="6">
        <f>IF(F90="생산량비례법",IF(O90&lt;&gt;"",(D90-E90)*O90/M90,""),(D90+IF(AND(R90&lt;&gt;"",Q90&lt;='기준정보'!$E$4),R90,0))-Z90)</f>
        <v/>
      </c>
      <c r="AH90" s="6">
        <f>AG90-AF90</f>
        <v/>
      </c>
      <c r="AI90" s="6">
        <f>IF(AF90="","",AF90+AC90)</f>
        <v/>
      </c>
      <c r="AJ90" s="6">
        <f>IF(AG90="","",AG90+AD90)</f>
        <v/>
      </c>
      <c r="AK90" s="6">
        <f>AJ90-AI90</f>
        <v/>
      </c>
      <c r="AL90" t="inlineStr">
        <is>
          <t>경미한 차이</t>
        </is>
      </c>
      <c r="AM90" t="inlineStr">
        <is>
          <t>-</t>
        </is>
      </c>
      <c r="AN90" t="inlineStr">
        <is>
          <t>-</t>
        </is>
      </c>
    </row>
    <row r="91">
      <c r="A91" t="inlineStr">
        <is>
          <t>3조합_capex_reest_처분_02</t>
        </is>
      </c>
      <c r="B91" t="inlineStr">
        <is>
          <t>유형자산</t>
        </is>
      </c>
      <c r="C91" s="4" t="n">
        <v>43466</v>
      </c>
      <c r="D91" s="6" t="n">
        <v>14000000</v>
      </c>
      <c r="E91" s="6" t="n">
        <v>0</v>
      </c>
      <c r="F91" t="inlineStr">
        <is>
          <t>정률법</t>
        </is>
      </c>
      <c r="G91" t="n">
        <v>9</v>
      </c>
      <c r="H91" s="12">
        <f>IF(IF(J91&lt;&gt;"",IF(L91&lt;&gt;"",L91,F91),F91)="정률법",VLOOKUP(IF(J91&lt;&gt;"",K91,G91),'상각률표(별표4)'!$A$2:$C$60,3,FALSE),IF(IF(J91&lt;&gt;"",IF(L91&lt;&gt;"",L91,F91),F91)="생산량비례법","-",IF(IF(J91&lt;&gt;"",IF(L91&lt;&gt;"",L91,F91),F91)="이중체감법",2/IF(J91&lt;&gt;"",K91,G91),IF(IF(J91&lt;&gt;"",IF(L91&lt;&gt;"",L91,F91),F91)="연수합계법",(IF(J91&lt;&gt;"",K91,G91)-('기준정보'!$E$3-YEAR(IF(J91&lt;&gt;"",J91,C91))+1)+1)/(IF(J91&lt;&gt;"",K91,G91)*(IF(J91&lt;&gt;"",K91,G91)+1)/2),12/W91))))</f>
        <v/>
      </c>
      <c r="I91" s="4" t="n">
        <v>45838</v>
      </c>
      <c r="J91" s="4" t="n">
        <v>44927</v>
      </c>
      <c r="K91" t="n">
        <v>7</v>
      </c>
      <c r="L91" t="inlineStr"/>
      <c r="M91" s="6" t="inlineStr"/>
      <c r="N91" s="6" t="inlineStr"/>
      <c r="O91" s="6" t="inlineStr"/>
      <c r="P91" s="6">
        <f>IF(OR(O91="",N91=""),"",O91+N91)</f>
        <v/>
      </c>
      <c r="Q91" s="4" t="n">
        <v>44197</v>
      </c>
      <c r="R91" s="6" t="n">
        <v>1500000</v>
      </c>
      <c r="S91" s="4" t="inlineStr"/>
      <c r="T91" s="4" t="inlineStr"/>
      <c r="U91">
        <f>(YEAR('기준정보'!$E$2)-YEAR(C91))*12+MONTH('기준정보'!$E$2)-MONTH(C91)+1</f>
        <v/>
      </c>
      <c r="V91" t="n">
        <v>6</v>
      </c>
      <c r="W91" t="n">
        <v>84</v>
      </c>
      <c r="X91" s="6" t="n">
        <v>1885240.793180797</v>
      </c>
      <c r="Y91" s="6">
        <f>X91-E91</f>
        <v/>
      </c>
      <c r="Z91" s="6" t="n">
        <v>1885240.793180797</v>
      </c>
      <c r="AA91" t="inlineStr">
        <is>
          <t>-</t>
        </is>
      </c>
      <c r="AB91" t="inlineStr">
        <is>
          <t>당기중처분(2025-06-30); 내용연수재추정(2023-01-01→7년); 자본적지출(2021-01-01→1,500,000원)</t>
        </is>
      </c>
      <c r="AC91" s="6" t="n">
        <v>328975</v>
      </c>
      <c r="AD91" s="6">
        <f>IF(IF(J91&lt;&gt;"",IF(L91&lt;&gt;"",L91,F91),F91)="생산량비례법",(D91-E91)*N91/M91,IF(IF(J91&lt;&gt;"",IF(L91&lt;&gt;"",L91,F91),F91)="정률법",IF(X91-X91*H91*V91/12&lt;=(D91+IF(R91&lt;&gt;"",R91,0))*0.05,Y91,X91*H91*V91/12),IF(IF(J91&lt;&gt;"",IF(L91&lt;&gt;"",L91,F91),F91)="이중체감법",IF(X91-X91*H91*V91/12&lt;=E91,Y91,X91*H91*V91/12),Y91*H91*V91/12)))</f>
        <v/>
      </c>
      <c r="AE91" s="6">
        <f>AD91-AC91</f>
        <v/>
      </c>
      <c r="AF91" s="6" t="n">
        <v>13614758</v>
      </c>
      <c r="AG91" s="6">
        <f>IF(F91="생산량비례법",IF(O91&lt;&gt;"",(D91-E91)*O91/M91,""),(D91+IF(AND(R91&lt;&gt;"",Q91&lt;='기준정보'!$E$4),R91,0))-Z91)</f>
        <v/>
      </c>
      <c r="AH91" s="6">
        <f>AG91-AF91</f>
        <v/>
      </c>
      <c r="AI91" s="6">
        <f>IF(AF91="","",AF91+AC91)</f>
        <v/>
      </c>
      <c r="AJ91" s="6">
        <f>IF(AG91="","",AG91+AD91)</f>
        <v/>
      </c>
      <c r="AK91" s="6">
        <f>AJ91-AI91</f>
        <v/>
      </c>
      <c r="AL91" t="inlineStr">
        <is>
          <t>경미한 차이</t>
        </is>
      </c>
      <c r="AM91" t="inlineStr">
        <is>
          <t>-</t>
        </is>
      </c>
      <c r="AN91" t="inlineStr">
        <is>
          <t>-</t>
        </is>
      </c>
    </row>
    <row r="92">
      <c r="A92" t="inlineStr">
        <is>
          <t>3조합_capex_중단_처분_01</t>
        </is>
      </c>
      <c r="B92" t="inlineStr">
        <is>
          <t>유형자산</t>
        </is>
      </c>
      <c r="C92" s="4" t="n">
        <v>44197</v>
      </c>
      <c r="D92" s="6" t="n">
        <v>9000000</v>
      </c>
      <c r="E92" s="6" t="n">
        <v>0</v>
      </c>
      <c r="F92" t="inlineStr">
        <is>
          <t>정액법</t>
        </is>
      </c>
      <c r="G92" t="n">
        <v>6</v>
      </c>
      <c r="H92" s="12">
        <f>IF(IF(J92&lt;&gt;"",IF(L92&lt;&gt;"",L92,F92),F92)="정률법",VLOOKUP(IF(J92&lt;&gt;"",K92,G92),'상각률표(별표4)'!$A$2:$C$60,3,FALSE),IF(IF(J92&lt;&gt;"",IF(L92&lt;&gt;"",L92,F92),F92)="생산량비례법","-",IF(IF(J92&lt;&gt;"",IF(L92&lt;&gt;"",L92,F92),F92)="이중체감법",2/IF(J92&lt;&gt;"",K92,G92),IF(IF(J92&lt;&gt;"",IF(L92&lt;&gt;"",L92,F92),F92)="연수합계법",(IF(J92&lt;&gt;"",K92,G92)-('기준정보'!$E$3-YEAR(IF(J92&lt;&gt;"",J92,C92))+1)+1)/(IF(J92&lt;&gt;"",K92,G92)*(IF(J92&lt;&gt;"",K92,G92)+1)/2),12/W92))))</f>
        <v/>
      </c>
      <c r="I92" s="4" t="n">
        <v>45961</v>
      </c>
      <c r="J92" s="4" t="inlineStr"/>
      <c r="K92" t="inlineStr"/>
      <c r="L92" t="inlineStr"/>
      <c r="M92" s="6" t="inlineStr"/>
      <c r="N92" s="6" t="inlineStr"/>
      <c r="O92" s="6" t="inlineStr"/>
      <c r="P92" s="6">
        <f>IF(OR(O92="",N92=""),"",O92+N92)</f>
        <v/>
      </c>
      <c r="Q92" s="4" t="n">
        <v>44927</v>
      </c>
      <c r="R92" s="6" t="n">
        <v>800000</v>
      </c>
      <c r="S92" s="4" t="n">
        <v>45292</v>
      </c>
      <c r="T92" s="4" t="n">
        <v>45473</v>
      </c>
      <c r="U92">
        <f>(YEAR('기준정보'!$E$2)-YEAR(C92))*12+MONTH('기준정보'!$E$2)-MONTH(C92)+1</f>
        <v/>
      </c>
      <c r="V92" t="n">
        <v>10</v>
      </c>
      <c r="W92" t="n">
        <v>48</v>
      </c>
      <c r="X92" s="6" t="n">
        <v>6800000</v>
      </c>
      <c r="Y92" s="6">
        <f>X92-E92</f>
        <v/>
      </c>
      <c r="Z92" s="6" t="n">
        <v>4250000</v>
      </c>
      <c r="AA92" t="inlineStr">
        <is>
          <t>-</t>
        </is>
      </c>
      <c r="AB92" t="inlineStr">
        <is>
          <t>당기중처분(2025-10-31); 자본적지출(2023-01-01→800,000원); 상각중단(2024-01-01~2024-06-30)</t>
        </is>
      </c>
      <c r="AC92" s="6" t="n">
        <v>1416667</v>
      </c>
      <c r="AD92" s="6">
        <f>IF(IF(J92&lt;&gt;"",IF(L92&lt;&gt;"",L92,F92),F92)="생산량비례법",(D92-E92)*N92/M92,IF(IF(J92&lt;&gt;"",IF(L92&lt;&gt;"",L92,F92),F92)="정률법",IF(X92-X92*H92*V92/12&lt;=(D92+IF(R92&lt;&gt;"",R92,0))*0.05,Y92,X92*H92*V92/12),IF(IF(J92&lt;&gt;"",IF(L92&lt;&gt;"",L92,F92),F92)="이중체감법",IF(X92-X92*H92*V92/12&lt;=E92,Y92,X92*H92*V92/12),Y92*H92*V92/12)))</f>
        <v/>
      </c>
      <c r="AE92" s="6">
        <f>AD92-AC92</f>
        <v/>
      </c>
      <c r="AF92" s="6" t="n">
        <v>5550000</v>
      </c>
      <c r="AG92" s="6">
        <f>IF(F92="생산량비례법",IF(O92&lt;&gt;"",(D92-E92)*O92/M92,""),(D92+IF(AND(R92&lt;&gt;"",Q92&lt;='기준정보'!$E$4),R92,0))-Z92)</f>
        <v/>
      </c>
      <c r="AH92" s="6">
        <f>AG92-AF92</f>
        <v/>
      </c>
      <c r="AI92" s="6">
        <f>IF(AF92="","",AF92+AC92)</f>
        <v/>
      </c>
      <c r="AJ92" s="6">
        <f>IF(AG92="","",AG92+AD92)</f>
        <v/>
      </c>
      <c r="AK92" s="6">
        <f>AJ92-AI92</f>
        <v/>
      </c>
      <c r="AL92" t="inlineStr">
        <is>
          <t>경미한 차이</t>
        </is>
      </c>
      <c r="AM92" t="inlineStr">
        <is>
          <t>-</t>
        </is>
      </c>
      <c r="AN92" t="inlineStr">
        <is>
          <t>-</t>
        </is>
      </c>
    </row>
    <row r="93">
      <c r="A93" t="inlineStr">
        <is>
          <t>3조합_capex_중단_처분_02</t>
        </is>
      </c>
      <c r="B93" t="inlineStr">
        <is>
          <t>무형자산</t>
        </is>
      </c>
      <c r="C93" s="4" t="n">
        <v>44197</v>
      </c>
      <c r="D93" s="6" t="n">
        <v>8800000</v>
      </c>
      <c r="E93" s="6" t="n">
        <v>0</v>
      </c>
      <c r="F93" t="inlineStr">
        <is>
          <t>정률법</t>
        </is>
      </c>
      <c r="G93" t="n">
        <v>6</v>
      </c>
      <c r="H93" s="12">
        <f>IF(IF(J93&lt;&gt;"",IF(L93&lt;&gt;"",L93,F93),F93)="정률법",VLOOKUP(IF(J93&lt;&gt;"",K93,G93),'상각률표(별표4)'!$A$2:$C$60,3,FALSE),IF(IF(J93&lt;&gt;"",IF(L93&lt;&gt;"",L93,F93),F93)="생산량비례법","-",IF(IF(J93&lt;&gt;"",IF(L93&lt;&gt;"",L93,F93),F93)="이중체감법",2/IF(J93&lt;&gt;"",K93,G93),IF(IF(J93&lt;&gt;"",IF(L93&lt;&gt;"",L93,F93),F93)="연수합계법",(IF(J93&lt;&gt;"",K93,G93)-('기준정보'!$E$3-YEAR(IF(J93&lt;&gt;"",J93,C93))+1)+1)/(IF(J93&lt;&gt;"",K93,G93)*(IF(J93&lt;&gt;"",K93,G93)+1)/2),12/W93))))</f>
        <v/>
      </c>
      <c r="I93" s="4" t="n">
        <v>45869</v>
      </c>
      <c r="J93" s="4" t="inlineStr"/>
      <c r="K93" t="inlineStr"/>
      <c r="L93" t="inlineStr"/>
      <c r="M93" s="6" t="inlineStr"/>
      <c r="N93" s="6" t="inlineStr"/>
      <c r="O93" s="6" t="inlineStr"/>
      <c r="P93" s="6">
        <f>IF(OR(O93="",N93=""),"",O93+N93)</f>
        <v/>
      </c>
      <c r="Q93" s="4" t="n">
        <v>45078</v>
      </c>
      <c r="R93" s="6" t="n">
        <v>900000</v>
      </c>
      <c r="S93" s="4" t="n">
        <v>45292</v>
      </c>
      <c r="T93" s="4" t="n">
        <v>45443</v>
      </c>
      <c r="U93">
        <f>(YEAR('기준정보'!$E$2)-YEAR(C93))*12+MONTH('기준정보'!$E$2)-MONTH(C93)+1</f>
        <v/>
      </c>
      <c r="V93" t="n">
        <v>7</v>
      </c>
      <c r="W93" t="n">
        <v>43</v>
      </c>
      <c r="X93" s="6" t="n">
        <v>2136042.191987835</v>
      </c>
      <c r="Y93" s="6">
        <f>X93-E93</f>
        <v/>
      </c>
      <c r="Z93" s="6" t="n">
        <v>2136042.191987835</v>
      </c>
      <c r="AA93" t="inlineStr">
        <is>
          <t>-</t>
        </is>
      </c>
      <c r="AB93" t="inlineStr">
        <is>
          <t>당기중처분(2025-07-31); 자본적지출(2023-06-01→900,000원); 상각중단(2024-01-01~2024-05-31)</t>
        </is>
      </c>
      <c r="AC93" s="6" t="n">
        <v>490934</v>
      </c>
      <c r="AD93" s="6">
        <f>IF(IF(J93&lt;&gt;"",IF(L93&lt;&gt;"",L93,F93),F93)="생산량비례법",(D93-E93)*N93/M93,IF(IF(J93&lt;&gt;"",IF(L93&lt;&gt;"",L93,F93),F93)="정률법",IF(X93-X93*H93*V93/12&lt;=(D93+IF(R93&lt;&gt;"",R93,0))*0.05,Y93,X93*H93*V93/12),IF(IF(J93&lt;&gt;"",IF(L93&lt;&gt;"",L93,F93),F93)="이중체감법",IF(X93-X93*H93*V93/12&lt;=E93,Y93,X93*H93*V93/12),Y93*H93*V93/12)))</f>
        <v/>
      </c>
      <c r="AE93" s="6">
        <f>AD93-AC93</f>
        <v/>
      </c>
      <c r="AF93" s="6" t="n">
        <v>7563957</v>
      </c>
      <c r="AG93" s="6">
        <f>IF(F93="생산량비례법",IF(O93&lt;&gt;"",(D93-E93)*O93/M93,""),(D93+IF(AND(R93&lt;&gt;"",Q93&lt;='기준정보'!$E$4),R93,0))-Z93)</f>
        <v/>
      </c>
      <c r="AH93" s="6">
        <f>AG93-AF93</f>
        <v/>
      </c>
      <c r="AI93" s="6">
        <f>IF(AF93="","",AF93+AC93)</f>
        <v/>
      </c>
      <c r="AJ93" s="6">
        <f>IF(AG93="","",AG93+AD93)</f>
        <v/>
      </c>
      <c r="AK93" s="6">
        <f>AJ93-AI93</f>
        <v/>
      </c>
      <c r="AL93" t="inlineStr">
        <is>
          <t>경미한 차이</t>
        </is>
      </c>
      <c r="AM93" t="inlineStr">
        <is>
          <t>-</t>
        </is>
      </c>
      <c r="AN93" t="inlineStr">
        <is>
          <t>-</t>
        </is>
      </c>
    </row>
    <row r="94">
      <c r="A94" t="inlineStr">
        <is>
          <t>3조합_reest_중단_처분_01</t>
        </is>
      </c>
      <c r="B94" t="inlineStr">
        <is>
          <t>유형자산</t>
        </is>
      </c>
      <c r="C94" s="4" t="n">
        <v>43831</v>
      </c>
      <c r="D94" s="6" t="n">
        <v>11000000</v>
      </c>
      <c r="E94" s="6" t="n">
        <v>0</v>
      </c>
      <c r="F94" t="inlineStr">
        <is>
          <t>정액법</t>
        </is>
      </c>
      <c r="G94" t="n">
        <v>7</v>
      </c>
      <c r="H94" s="12">
        <f>IF(IF(J94&lt;&gt;"",IF(L94&lt;&gt;"",L94,F94),F94)="정률법",VLOOKUP(IF(J94&lt;&gt;"",K94,G94),'상각률표(별표4)'!$A$2:$C$60,3,FALSE),IF(IF(J94&lt;&gt;"",IF(L94&lt;&gt;"",L94,F94),F94)="생산량비례법","-",IF(IF(J94&lt;&gt;"",IF(L94&lt;&gt;"",L94,F94),F94)="이중체감법",2/IF(J94&lt;&gt;"",K94,G94),IF(IF(J94&lt;&gt;"",IF(L94&lt;&gt;"",L94,F94),F94)="연수합계법",(IF(J94&lt;&gt;"",K94,G94)-('기준정보'!$E$3-YEAR(IF(J94&lt;&gt;"",J94,C94))+1)+1)/(IF(J94&lt;&gt;"",K94,G94)*(IF(J94&lt;&gt;"",K94,G94)+1)/2),12/W94))))</f>
        <v/>
      </c>
      <c r="I94" s="4" t="n">
        <v>45991</v>
      </c>
      <c r="J94" s="4" t="n">
        <v>44562</v>
      </c>
      <c r="K94" t="n">
        <v>6</v>
      </c>
      <c r="L94" t="inlineStr"/>
      <c r="M94" s="6" t="inlineStr"/>
      <c r="N94" s="6" t="inlineStr"/>
      <c r="O94" s="6" t="inlineStr"/>
      <c r="P94" s="6">
        <f>IF(OR(O94="",N94=""),"",O94+N94)</f>
        <v/>
      </c>
      <c r="Q94" s="4" t="inlineStr"/>
      <c r="R94" s="6" t="inlineStr"/>
      <c r="S94" s="4" t="n">
        <v>44927</v>
      </c>
      <c r="T94" s="4" t="n">
        <v>45107</v>
      </c>
      <c r="U94">
        <f>(YEAR('기준정보'!$E$2)-YEAR(C94))*12+MONTH('기준정보'!$E$2)-MONTH(C94)+1</f>
        <v/>
      </c>
      <c r="V94" t="n">
        <v>11</v>
      </c>
      <c r="W94" t="n">
        <v>72</v>
      </c>
      <c r="X94" s="6" t="n">
        <v>7857142.857142857</v>
      </c>
      <c r="Y94" s="6">
        <f>X94-E94</f>
        <v/>
      </c>
      <c r="Z94" s="6" t="n">
        <v>4583333.333333334</v>
      </c>
      <c r="AA94" t="inlineStr">
        <is>
          <t>-</t>
        </is>
      </c>
      <c r="AB94" t="inlineStr">
        <is>
          <t>당기중처분(2025-11-30); 내용연수재추정(2022-01-01→6년); 상각중단(2023-01-01~2023-06-30)</t>
        </is>
      </c>
      <c r="AC94" s="6" t="n">
        <v>1200397</v>
      </c>
      <c r="AD94" s="6">
        <f>IF(IF(J94&lt;&gt;"",IF(L94&lt;&gt;"",L94,F94),F94)="생산량비례법",(D94-E94)*N94/M94,IF(IF(J94&lt;&gt;"",IF(L94&lt;&gt;"",L94,F94),F94)="정률법",IF(X94-X94*H94*V94/12&lt;=(D94+IF(R94&lt;&gt;"",R94,0))*0.05,Y94,X94*H94*V94/12),IF(IF(J94&lt;&gt;"",IF(L94&lt;&gt;"",L94,F94),F94)="이중체감법",IF(X94-X94*H94*V94/12&lt;=E94,Y94,X94*H94*V94/12),Y94*H94*V94/12)))</f>
        <v/>
      </c>
      <c r="AE94" s="6">
        <f>AD94-AC94</f>
        <v/>
      </c>
      <c r="AF94" s="6" t="n">
        <v>6416668</v>
      </c>
      <c r="AG94" s="6">
        <f>IF(F94="생산량비례법",IF(O94&lt;&gt;"",(D94-E94)*O94/M94,""),(D94+IF(AND(R94&lt;&gt;"",Q94&lt;='기준정보'!$E$4),R94,0))-Z94)</f>
        <v/>
      </c>
      <c r="AH94" s="6">
        <f>AG94-AF94</f>
        <v/>
      </c>
      <c r="AI94" s="6">
        <f>IF(AF94="","",AF94+AC94)</f>
        <v/>
      </c>
      <c r="AJ94" s="6">
        <f>IF(AG94="","",AG94+AD94)</f>
        <v/>
      </c>
      <c r="AK94" s="6">
        <f>AJ94-AI94</f>
        <v/>
      </c>
      <c r="AL94" t="inlineStr">
        <is>
          <t>경미한 차이</t>
        </is>
      </c>
      <c r="AM94" t="inlineStr">
        <is>
          <t>-</t>
        </is>
      </c>
      <c r="AN94" t="inlineStr">
        <is>
          <t>-</t>
        </is>
      </c>
    </row>
    <row r="95">
      <c r="A95" t="inlineStr">
        <is>
          <t>3조합_reest_중단_처분_02</t>
        </is>
      </c>
      <c r="B95" t="inlineStr">
        <is>
          <t>유형자산</t>
        </is>
      </c>
      <c r="C95" s="4" t="n">
        <v>43466</v>
      </c>
      <c r="D95" s="6" t="n">
        <v>12500000</v>
      </c>
      <c r="E95" s="6" t="n">
        <v>0</v>
      </c>
      <c r="F95" t="inlineStr">
        <is>
          <t>정률법</t>
        </is>
      </c>
      <c r="G95" t="n">
        <v>7</v>
      </c>
      <c r="H95" s="12">
        <f>IF(IF(J95&lt;&gt;"",IF(L95&lt;&gt;"",L95,F95),F95)="정률법",VLOOKUP(IF(J95&lt;&gt;"",K95,G95),'상각률표(별표4)'!$A$2:$C$60,3,FALSE),IF(IF(J95&lt;&gt;"",IF(L95&lt;&gt;"",L95,F95),F95)="생산량비례법","-",IF(IF(J95&lt;&gt;"",IF(L95&lt;&gt;"",L95,F95),F95)="이중체감법",2/IF(J95&lt;&gt;"",K95,G95),IF(IF(J95&lt;&gt;"",IF(L95&lt;&gt;"",L95,F95),F95)="연수합계법",(IF(J95&lt;&gt;"",K95,G95)-('기준정보'!$E$3-YEAR(IF(J95&lt;&gt;"",J95,C95))+1)+1)/(IF(J95&lt;&gt;"",K95,G95)*(IF(J95&lt;&gt;"",K95,G95)+1)/2),12/W95))))</f>
        <v/>
      </c>
      <c r="I95" s="4" t="n">
        <v>46022</v>
      </c>
      <c r="J95" s="4" t="n">
        <v>44562</v>
      </c>
      <c r="K95" t="n">
        <v>6</v>
      </c>
      <c r="L95" t="inlineStr"/>
      <c r="M95" s="6" t="inlineStr"/>
      <c r="N95" s="6" t="inlineStr"/>
      <c r="O95" s="6" t="inlineStr"/>
      <c r="P95" s="6">
        <f>IF(OR(O95="",N95=""),"",O95+N95)</f>
        <v/>
      </c>
      <c r="Q95" s="4" t="inlineStr"/>
      <c r="R95" s="6" t="inlineStr"/>
      <c r="S95" s="4" t="n">
        <v>44927</v>
      </c>
      <c r="T95" s="4" t="n">
        <v>45046</v>
      </c>
      <c r="U95">
        <f>(YEAR('기준정보'!$E$2)-YEAR(C95))*12+MONTH('기준정보'!$E$2)-MONTH(C95)+1</f>
        <v/>
      </c>
      <c r="V95" t="n">
        <v>12</v>
      </c>
      <c r="W95" t="n">
        <v>72</v>
      </c>
      <c r="X95" s="6" t="n">
        <v>933817.6859652018</v>
      </c>
      <c r="Y95" s="6">
        <f>X95-E95</f>
        <v/>
      </c>
      <c r="Z95" s="6" t="n">
        <v>933817.6859652018</v>
      </c>
      <c r="AA95" t="inlineStr">
        <is>
          <t>-</t>
        </is>
      </c>
      <c r="AB95" t="inlineStr">
        <is>
          <t>당기중처분(2025-12-31); 내용연수재추정(2022-01-01→6년); 상각중단(2023-01-01~2023-04-30)</t>
        </is>
      </c>
      <c r="AC95" s="6" t="n">
        <v>933818</v>
      </c>
      <c r="AD95" s="6">
        <f>IF(IF(J95&lt;&gt;"",IF(L95&lt;&gt;"",L95,F95),F95)="생산량비례법",(D95-E95)*N95/M95,IF(IF(J95&lt;&gt;"",IF(L95&lt;&gt;"",L95,F95),F95)="정률법",IF(X95-X95*H95*V95/12&lt;=(D95+IF(R95&lt;&gt;"",R95,0))*0.05,Y95,X95*H95*V95/12),IF(IF(J95&lt;&gt;"",IF(L95&lt;&gt;"",L95,F95),F95)="이중체감법",IF(X95-X95*H95*V95/12&lt;=E95,Y95,X95*H95*V95/12),Y95*H95*V95/12)))</f>
        <v/>
      </c>
      <c r="AE95" s="6">
        <f>AD95-AC95</f>
        <v/>
      </c>
      <c r="AF95" s="6" t="n">
        <v>11566183</v>
      </c>
      <c r="AG95" s="6">
        <f>IF(F95="생산량비례법",IF(O95&lt;&gt;"",(D95-E95)*O95/M95,""),(D95+IF(AND(R95&lt;&gt;"",Q95&lt;='기준정보'!$E$4),R95,0))-Z95)</f>
        <v/>
      </c>
      <c r="AH95" s="6">
        <f>AG95-AF95</f>
        <v/>
      </c>
      <c r="AI95" s="6">
        <f>IF(AF95="","",AF95+AC95)</f>
        <v/>
      </c>
      <c r="AJ95" s="6">
        <f>IF(AG95="","",AG95+AD95)</f>
        <v/>
      </c>
      <c r="AK95" s="6">
        <f>AJ95-AI95</f>
        <v/>
      </c>
      <c r="AL95" t="inlineStr">
        <is>
          <t>경미한 차이</t>
        </is>
      </c>
      <c r="AM95" t="inlineStr">
        <is>
          <t>-</t>
        </is>
      </c>
      <c r="AN95" t="inlineStr">
        <is>
          <t>-</t>
        </is>
      </c>
    </row>
    <row r="96">
      <c r="A96" t="inlineStr">
        <is>
          <t>경계_capex reest동일날짜</t>
        </is>
      </c>
      <c r="B96" t="inlineStr">
        <is>
          <t>유형자산</t>
        </is>
      </c>
      <c r="C96" s="4" t="n">
        <v>44562</v>
      </c>
      <c r="D96" s="6" t="n">
        <v>10000000</v>
      </c>
      <c r="E96" s="6" t="n">
        <v>0</v>
      </c>
      <c r="F96" t="inlineStr">
        <is>
          <t>정액법</t>
        </is>
      </c>
      <c r="G96" t="n">
        <v>5</v>
      </c>
      <c r="H96" s="12">
        <f>IF(IF(J96&lt;&gt;"",IF(L96&lt;&gt;"",L96,F96),F96)="정률법",VLOOKUP(IF(J96&lt;&gt;"",K96,G96),'상각률표(별표4)'!$A$2:$C$60,3,FALSE),IF(IF(J96&lt;&gt;"",IF(L96&lt;&gt;"",L96,F96),F96)="생산량비례법","-",IF(IF(J96&lt;&gt;"",IF(L96&lt;&gt;"",L96,F96),F96)="이중체감법",2/IF(J96&lt;&gt;"",K96,G96),IF(IF(J96&lt;&gt;"",IF(L96&lt;&gt;"",L96,F96),F96)="연수합계법",(IF(J96&lt;&gt;"",K96,G96)-('기준정보'!$E$3-YEAR(IF(J96&lt;&gt;"",J96,C96))+1)+1)/(IF(J96&lt;&gt;"",K96,G96)*(IF(J96&lt;&gt;"",K96,G96)+1)/2),12/W96))))</f>
        <v/>
      </c>
      <c r="I96" s="4" t="inlineStr"/>
      <c r="J96" s="4" t="n">
        <v>45292</v>
      </c>
      <c r="K96" t="n">
        <v>4</v>
      </c>
      <c r="L96" t="inlineStr"/>
      <c r="M96" s="6" t="inlineStr"/>
      <c r="N96" s="6" t="inlineStr"/>
      <c r="O96" s="6" t="inlineStr"/>
      <c r="P96" s="6">
        <f>IF(OR(O96="",N96=""),"",O96+N96)</f>
        <v/>
      </c>
      <c r="Q96" s="4" t="n">
        <v>45292</v>
      </c>
      <c r="R96" s="6" t="n">
        <v>2000000</v>
      </c>
      <c r="S96" s="4" t="inlineStr"/>
      <c r="T96" s="4" t="inlineStr"/>
      <c r="U96">
        <f>(YEAR('기준정보'!$E$2)-YEAR(C96))*12+MONTH('기준정보'!$E$2)-MONTH(C96)+1</f>
        <v/>
      </c>
      <c r="V96" t="n">
        <v>12</v>
      </c>
      <c r="W96" t="n">
        <v>48</v>
      </c>
      <c r="X96" s="6" t="n">
        <v>8000000</v>
      </c>
      <c r="Y96" s="6">
        <f>X96-E96</f>
        <v/>
      </c>
      <c r="Z96" s="6" t="n">
        <v>6000000</v>
      </c>
      <c r="AA96" t="inlineStr">
        <is>
          <t>-</t>
        </is>
      </c>
      <c r="AB96" t="inlineStr">
        <is>
          <t>내용연수재추정(2024-01-01→4년); 자본적지출(2024-01-01→2,000,000원)</t>
        </is>
      </c>
      <c r="AC96" s="6" t="n">
        <v>2000000</v>
      </c>
      <c r="AD96" s="6">
        <f>IF(IF(J96&lt;&gt;"",IF(L96&lt;&gt;"",L96,F96),F96)="생산량비례법",(D96-E96)*N96/M96,IF(IF(J96&lt;&gt;"",IF(L96&lt;&gt;"",L96,F96),F96)="정률법",IF(X96-X96*H96*V96/12&lt;=(D96+IF(R96&lt;&gt;"",R96,0))*0.05,Y96,X96*H96*V96/12),IF(IF(J96&lt;&gt;"",IF(L96&lt;&gt;"",L96,F96),F96)="이중체감법",IF(X96-X96*H96*V96/12&lt;=E96,Y96,X96*H96*V96/12),Y96*H96*V96/12)))</f>
        <v/>
      </c>
      <c r="AE96" s="6">
        <f>AD96-AC96</f>
        <v/>
      </c>
      <c r="AF96" s="6" t="n">
        <v>6000000</v>
      </c>
      <c r="AG96" s="6">
        <f>IF(F96="생산량비례법",IF(O96&lt;&gt;"",(D96-E96)*O96/M96,""),(D96+IF(AND(R96&lt;&gt;"",Q96&lt;='기준정보'!$E$4),R96,0))-Z96)</f>
        <v/>
      </c>
      <c r="AH96" s="6">
        <f>AG96-AF96</f>
        <v/>
      </c>
      <c r="AI96" s="6">
        <f>IF(AF96="","",AF96+AC96)</f>
        <v/>
      </c>
      <c r="AJ96" s="6">
        <f>IF(AG96="","",AG96+AD96)</f>
        <v/>
      </c>
      <c r="AK96" s="6">
        <f>AJ96-AI96</f>
        <v/>
      </c>
      <c r="AL96" t="inlineStr">
        <is>
          <t>경미한 차이</t>
        </is>
      </c>
      <c r="AM96" t="inlineStr">
        <is>
          <t>-</t>
        </is>
      </c>
      <c r="AN96" t="inlineStr">
        <is>
          <t>-</t>
        </is>
      </c>
    </row>
    <row r="97">
      <c r="A97" t="inlineStr">
        <is>
          <t>경계_reest가중단구간안</t>
        </is>
      </c>
      <c r="B97" t="inlineStr">
        <is>
          <t>유형자산</t>
        </is>
      </c>
      <c r="C97" s="4" t="n">
        <v>44197</v>
      </c>
      <c r="D97" s="6" t="n">
        <v>9000000</v>
      </c>
      <c r="E97" s="6" t="n">
        <v>0</v>
      </c>
      <c r="F97" t="inlineStr">
        <is>
          <t>정액법</t>
        </is>
      </c>
      <c r="G97" t="n">
        <v>6</v>
      </c>
      <c r="H97" s="12">
        <f>IF(IF(J97&lt;&gt;"",IF(L97&lt;&gt;"",L97,F97),F97)="정률법",VLOOKUP(IF(J97&lt;&gt;"",K97,G97),'상각률표(별표4)'!$A$2:$C$60,3,FALSE),IF(IF(J97&lt;&gt;"",IF(L97&lt;&gt;"",L97,F97),F97)="생산량비례법","-",IF(IF(J97&lt;&gt;"",IF(L97&lt;&gt;"",L97,F97),F97)="이중체감법",2/IF(J97&lt;&gt;"",K97,G97),IF(IF(J97&lt;&gt;"",IF(L97&lt;&gt;"",L97,F97),F97)="연수합계법",(IF(J97&lt;&gt;"",K97,G97)-('기준정보'!$E$3-YEAR(IF(J97&lt;&gt;"",J97,C97))+1)+1)/(IF(J97&lt;&gt;"",K97,G97)*(IF(J97&lt;&gt;"",K97,G97)+1)/2),12/W97))))</f>
        <v/>
      </c>
      <c r="I97" s="4" t="inlineStr"/>
      <c r="J97" s="4" t="n">
        <v>45078</v>
      </c>
      <c r="K97" t="n">
        <v>5</v>
      </c>
      <c r="L97" t="inlineStr"/>
      <c r="M97" s="6" t="inlineStr"/>
      <c r="N97" s="6" t="inlineStr"/>
      <c r="O97" s="6" t="inlineStr"/>
      <c r="P97" s="6">
        <f>IF(OR(O97="",N97=""),"",O97+N97)</f>
        <v/>
      </c>
      <c r="Q97" s="4" t="inlineStr"/>
      <c r="R97" s="6" t="inlineStr"/>
      <c r="S97" s="4" t="n">
        <v>44986</v>
      </c>
      <c r="T97" s="4" t="n">
        <v>45199</v>
      </c>
      <c r="U97">
        <f>(YEAR('기준정보'!$E$2)-YEAR(C97))*12+MONTH('기준정보'!$E$2)-MONTH(C97)+1</f>
        <v/>
      </c>
      <c r="V97" t="n">
        <v>12</v>
      </c>
      <c r="W97" t="n">
        <v>60</v>
      </c>
      <c r="X97" s="6" t="n">
        <v>5750000</v>
      </c>
      <c r="Y97" s="6">
        <f>X97-E97</f>
        <v/>
      </c>
      <c r="Z97" s="6" t="n">
        <v>4312500</v>
      </c>
      <c r="AA97" t="inlineStr">
        <is>
          <t>-</t>
        </is>
      </c>
      <c r="AB97" t="inlineStr">
        <is>
          <t>내용연수재추정(2023-06-01→5년); 상각중단(2023-03-01~2023-09-30)</t>
        </is>
      </c>
      <c r="AC97" s="6" t="n">
        <v>1150000</v>
      </c>
      <c r="AD97" s="6">
        <f>IF(IF(J97&lt;&gt;"",IF(L97&lt;&gt;"",L97,F97),F97)="생산량비례법",(D97-E97)*N97/M97,IF(IF(J97&lt;&gt;"",IF(L97&lt;&gt;"",L97,F97),F97)="정률법",IF(X97-X97*H97*V97/12&lt;=(D97+IF(R97&lt;&gt;"",R97,0))*0.05,Y97,X97*H97*V97/12),IF(IF(J97&lt;&gt;"",IF(L97&lt;&gt;"",L97,F97),F97)="이중체감법",IF(X97-X97*H97*V97/12&lt;=E97,Y97,X97*H97*V97/12),Y97*H97*V97/12)))</f>
        <v/>
      </c>
      <c r="AE97" s="6">
        <f>AD97-AC97</f>
        <v/>
      </c>
      <c r="AF97" s="6" t="n">
        <v>4687500</v>
      </c>
      <c r="AG97" s="6">
        <f>IF(F97="생산량비례법",IF(O97&lt;&gt;"",(D97-E97)*O97/M97,""),(D97+IF(AND(R97&lt;&gt;"",Q97&lt;='기준정보'!$E$4),R97,0))-Z97)</f>
        <v/>
      </c>
      <c r="AH97" s="6">
        <f>AG97-AF97</f>
        <v/>
      </c>
      <c r="AI97" s="6">
        <f>IF(AF97="","",AF97+AC97)</f>
        <v/>
      </c>
      <c r="AJ97" s="6">
        <f>IF(AG97="","",AG97+AD97)</f>
        <v/>
      </c>
      <c r="AK97" s="6">
        <f>AJ97-AI97</f>
        <v/>
      </c>
      <c r="AL97" t="inlineStr">
        <is>
          <t>경미한 차이</t>
        </is>
      </c>
      <c r="AM97" t="inlineStr">
        <is>
          <t>-</t>
        </is>
      </c>
      <c r="AN97" t="inlineStr">
        <is>
          <t>-</t>
        </is>
      </c>
    </row>
    <row r="98">
      <c r="A98" t="inlineStr">
        <is>
          <t>경계_처분이중단구간안</t>
        </is>
      </c>
      <c r="B98" t="inlineStr">
        <is>
          <t>유형자산</t>
        </is>
      </c>
      <c r="C98" s="4" t="n">
        <v>44562</v>
      </c>
      <c r="D98" s="6" t="n">
        <v>8000000</v>
      </c>
      <c r="E98" s="6" t="n">
        <v>0</v>
      </c>
      <c r="F98" t="inlineStr">
        <is>
          <t>정액법</t>
        </is>
      </c>
      <c r="G98" t="n">
        <v>5</v>
      </c>
      <c r="H98" s="12">
        <f>IF(IF(J98&lt;&gt;"",IF(L98&lt;&gt;"",L98,F98),F98)="정률법",VLOOKUP(IF(J98&lt;&gt;"",K98,G98),'상각률표(별표4)'!$A$2:$C$60,3,FALSE),IF(IF(J98&lt;&gt;"",IF(L98&lt;&gt;"",L98,F98),F98)="생산량비례법","-",IF(IF(J98&lt;&gt;"",IF(L98&lt;&gt;"",L98,F98),F98)="이중체감법",2/IF(J98&lt;&gt;"",K98,G98),IF(IF(J98&lt;&gt;"",IF(L98&lt;&gt;"",L98,F98),F98)="연수합계법",(IF(J98&lt;&gt;"",K98,G98)-('기준정보'!$E$3-YEAR(IF(J98&lt;&gt;"",J98,C98))+1)+1)/(IF(J98&lt;&gt;"",K98,G98)*(IF(J98&lt;&gt;"",K98,G98)+1)/2),12/W98))))</f>
        <v/>
      </c>
      <c r="I98" s="4" t="n">
        <v>45838</v>
      </c>
      <c r="J98" s="4" t="inlineStr"/>
      <c r="K98" t="inlineStr"/>
      <c r="L98" t="inlineStr"/>
      <c r="M98" s="6" t="inlineStr"/>
      <c r="N98" s="6" t="inlineStr"/>
      <c r="O98" s="6" t="inlineStr"/>
      <c r="P98" s="6">
        <f>IF(OR(O98="",N98=""),"",O98+N98)</f>
        <v/>
      </c>
      <c r="Q98" s="4" t="inlineStr"/>
      <c r="R98" s="6" t="inlineStr"/>
      <c r="S98" s="4" t="n">
        <v>45717</v>
      </c>
      <c r="T98" s="4" t="n">
        <v>45930</v>
      </c>
      <c r="U98">
        <f>(YEAR('기준정보'!$E$2)-YEAR(C98))*12+MONTH('기준정보'!$E$2)-MONTH(C98)+1</f>
        <v/>
      </c>
      <c r="V98" t="n">
        <v>2</v>
      </c>
      <c r="W98" t="n">
        <v>60</v>
      </c>
      <c r="X98" s="6" t="n">
        <v>8000000</v>
      </c>
      <c r="Y98" s="6">
        <f>X98-E98</f>
        <v/>
      </c>
      <c r="Z98" s="6" t="n">
        <v>3200000</v>
      </c>
      <c r="AA98" t="inlineStr">
        <is>
          <t>-</t>
        </is>
      </c>
      <c r="AB98" t="inlineStr">
        <is>
          <t>당기중처분(2025-06-30); 상각중단(2025-03-01~2025-09-30)</t>
        </is>
      </c>
      <c r="AC98" s="6" t="n">
        <v>266667</v>
      </c>
      <c r="AD98" s="6">
        <f>IF(IF(J98&lt;&gt;"",IF(L98&lt;&gt;"",L98,F98),F98)="생산량비례법",(D98-E98)*N98/M98,IF(IF(J98&lt;&gt;"",IF(L98&lt;&gt;"",L98,F98),F98)="정률법",IF(X98-X98*H98*V98/12&lt;=(D98+IF(R98&lt;&gt;"",R98,0))*0.05,Y98,X98*H98*V98/12),IF(IF(J98&lt;&gt;"",IF(L98&lt;&gt;"",L98,F98),F98)="이중체감법",IF(X98-X98*H98*V98/12&lt;=E98,Y98,X98*H98*V98/12),Y98*H98*V98/12)))</f>
        <v/>
      </c>
      <c r="AE98" s="6">
        <f>AD98-AC98</f>
        <v/>
      </c>
      <c r="AF98" s="6" t="n">
        <v>4800000</v>
      </c>
      <c r="AG98" s="6">
        <f>IF(F98="생산량비례법",IF(O98&lt;&gt;"",(D98-E98)*O98/M98,""),(D98+IF(AND(R98&lt;&gt;"",Q98&lt;='기준정보'!$E$4),R98,0))-Z98)</f>
        <v/>
      </c>
      <c r="AH98" s="6">
        <f>AG98-AF98</f>
        <v/>
      </c>
      <c r="AI98" s="6">
        <f>IF(AF98="","",AF98+AC98)</f>
        <v/>
      </c>
      <c r="AJ98" s="6">
        <f>IF(AG98="","",AG98+AD98)</f>
        <v/>
      </c>
      <c r="AK98" s="6">
        <f>AJ98-AI98</f>
        <v/>
      </c>
      <c r="AL98" t="inlineStr">
        <is>
          <t>경미한 차이</t>
        </is>
      </c>
      <c r="AM98" t="inlineStr">
        <is>
          <t>-</t>
        </is>
      </c>
      <c r="AN98" t="inlineStr">
        <is>
          <t>-</t>
        </is>
      </c>
    </row>
    <row r="99">
      <c r="A99" t="inlineStr">
        <is>
          <t>경계_capex직후방법변경</t>
        </is>
      </c>
      <c r="B99" t="inlineStr">
        <is>
          <t>유형자산</t>
        </is>
      </c>
      <c r="C99" s="4" t="n">
        <v>44562</v>
      </c>
      <c r="D99" s="6" t="n">
        <v>10000000</v>
      </c>
      <c r="E99" s="6" t="n">
        <v>0</v>
      </c>
      <c r="F99" t="inlineStr">
        <is>
          <t>정액법</t>
        </is>
      </c>
      <c r="G99" t="n">
        <v>10</v>
      </c>
      <c r="H99" s="12">
        <f>IF(IF(J99&lt;&gt;"",IF(L99&lt;&gt;"",L99,F99),F99)="정률법",VLOOKUP(IF(J99&lt;&gt;"",K99,G99),'상각률표(별표4)'!$A$2:$C$60,3,FALSE),IF(IF(J99&lt;&gt;"",IF(L99&lt;&gt;"",L99,F99),F99)="생산량비례법","-",IF(IF(J99&lt;&gt;"",IF(L99&lt;&gt;"",L99,F99),F99)="이중체감법",2/IF(J99&lt;&gt;"",K99,G99),IF(IF(J99&lt;&gt;"",IF(L99&lt;&gt;"",L99,F99),F99)="연수합계법",(IF(J99&lt;&gt;"",K99,G99)-('기준정보'!$E$3-YEAR(IF(J99&lt;&gt;"",J99,C99))+1)+1)/(IF(J99&lt;&gt;"",K99,G99)*(IF(J99&lt;&gt;"",K99,G99)+1)/2),12/W99))))</f>
        <v/>
      </c>
      <c r="I99" s="4" t="inlineStr"/>
      <c r="J99" s="4" t="n">
        <v>45839</v>
      </c>
      <c r="K99" t="n">
        <v>5</v>
      </c>
      <c r="L99" t="inlineStr">
        <is>
          <t>정률법</t>
        </is>
      </c>
      <c r="M99" s="6" t="inlineStr"/>
      <c r="N99" s="6" t="inlineStr"/>
      <c r="O99" s="6" t="inlineStr"/>
      <c r="P99" s="6">
        <f>IF(OR(O99="",N99=""),"",O99+N99)</f>
        <v/>
      </c>
      <c r="Q99" s="4" t="n">
        <v>45292</v>
      </c>
      <c r="R99" s="6" t="n">
        <v>1000000</v>
      </c>
      <c r="S99" s="4" t="inlineStr"/>
      <c r="T99" s="4" t="inlineStr"/>
      <c r="U99">
        <f>(YEAR('기준정보'!$E$2)-YEAR(C99))*12+MONTH('기준정보'!$E$2)-MONTH(C99)+1</f>
        <v/>
      </c>
      <c r="V99" t="n">
        <v>12</v>
      </c>
      <c r="W99" t="n">
        <v>96</v>
      </c>
      <c r="X99" s="6" t="n">
        <v>9000000</v>
      </c>
      <c r="Y99" s="6">
        <f>X99-E99</f>
        <v/>
      </c>
      <c r="Z99" s="6" t="n">
        <v>7875000</v>
      </c>
      <c r="AA99" t="inlineStr">
        <is>
          <t>-</t>
        </is>
      </c>
      <c r="AB99" t="inlineStr">
        <is>
          <t>내용연수재추정(2025-07-01→5년→정률법); 자본적지출(2024-01-01→1,000,000원)</t>
        </is>
      </c>
      <c r="AC99" s="6" t="n">
        <v>2211469</v>
      </c>
      <c r="AD99" s="6" t="n">
        <v>2211469</v>
      </c>
      <c r="AE99" s="6">
        <f>AD99-AC99</f>
        <v/>
      </c>
      <c r="AF99" s="6" t="n">
        <v>3125000</v>
      </c>
      <c r="AG99" s="6">
        <f>IF(F99="생산량비례법",IF(O99&lt;&gt;"",(D99-E99)*O99/M99,""),(D99+IF(AND(R99&lt;&gt;"",Q99&lt;='기준정보'!$E$4),R99,0))-Z99)</f>
        <v/>
      </c>
      <c r="AH99" s="6">
        <f>AG99-AF99</f>
        <v/>
      </c>
      <c r="AI99" s="6">
        <f>IF(AF99="","",AF99+AC99)</f>
        <v/>
      </c>
      <c r="AJ99" s="6">
        <f>IF(AG99="","",AG99+AD99)</f>
        <v/>
      </c>
      <c r="AK99" s="6">
        <f>AJ99-AI99</f>
        <v/>
      </c>
      <c r="AL99" t="inlineStr">
        <is>
          <t>경미한 차이</t>
        </is>
      </c>
      <c r="AM99" t="inlineStr">
        <is>
          <t>-</t>
        </is>
      </c>
      <c r="AN99" t="inlineStr">
        <is>
          <t>-</t>
        </is>
      </c>
    </row>
    <row r="100">
      <c r="A100" t="inlineStr">
        <is>
          <t>경계_중단이중간구간</t>
        </is>
      </c>
      <c r="B100" t="inlineStr">
        <is>
          <t>유형자산</t>
        </is>
      </c>
      <c r="C100" s="4" t="n">
        <v>43831</v>
      </c>
      <c r="D100" s="6" t="n">
        <v>6000000</v>
      </c>
      <c r="E100" s="6" t="n">
        <v>0</v>
      </c>
      <c r="F100" t="inlineStr">
        <is>
          <t>정액법</t>
        </is>
      </c>
      <c r="G100" t="n">
        <v>5</v>
      </c>
      <c r="H100" s="12">
        <f>IF(IF(J100&lt;&gt;"",IF(L100&lt;&gt;"",L100,F100),F100)="정률법",VLOOKUP(IF(J100&lt;&gt;"",K100,G100),'상각률표(별표4)'!$A$2:$C$60,3,FALSE),IF(IF(J100&lt;&gt;"",IF(L100&lt;&gt;"",L100,F100),F100)="생산량비례법","-",IF(IF(J100&lt;&gt;"",IF(L100&lt;&gt;"",L100,F100),F100)="이중체감법",2/IF(J100&lt;&gt;"",K100,G100),IF(IF(J100&lt;&gt;"",IF(L100&lt;&gt;"",L100,F100),F100)="연수합계법",(IF(J100&lt;&gt;"",K100,G100)-('기준정보'!$E$3-YEAR(IF(J100&lt;&gt;"",J100,C100))+1)+1)/(IF(J100&lt;&gt;"",K100,G100)*(IF(J100&lt;&gt;"",K100,G100)+1)/2),12/W100))))</f>
        <v/>
      </c>
      <c r="I100" s="4" t="inlineStr"/>
      <c r="J100" s="4" t="n">
        <v>44562</v>
      </c>
      <c r="K100" t="n">
        <v>3</v>
      </c>
      <c r="L100" t="inlineStr"/>
      <c r="M100" s="6" t="inlineStr"/>
      <c r="N100" s="6" t="inlineStr"/>
      <c r="O100" s="6" t="inlineStr"/>
      <c r="P100" s="6">
        <f>IF(OR(O100="",N100=""),"",O100+N100)</f>
        <v/>
      </c>
      <c r="Q100" s="4" t="inlineStr"/>
      <c r="R100" s="6" t="inlineStr"/>
      <c r="S100" s="4" t="n">
        <v>44348</v>
      </c>
      <c r="T100" s="4" t="n">
        <v>44561</v>
      </c>
      <c r="U100">
        <f>(YEAR('기준정보'!$E$2)-YEAR(C100))*12+MONTH('기준정보'!$E$2)-MONTH(C100)+1</f>
        <v/>
      </c>
      <c r="V100" t="n">
        <v>0</v>
      </c>
      <c r="W100" t="n">
        <v>60</v>
      </c>
      <c r="X100" s="6" t="n">
        <v>6000000</v>
      </c>
      <c r="Y100" s="6">
        <f>X100-E100</f>
        <v/>
      </c>
      <c r="Z100" s="6" t="n">
        <v>0</v>
      </c>
      <c r="AA100" t="inlineStr">
        <is>
          <t>종료</t>
        </is>
      </c>
      <c r="AB100" t="inlineStr">
        <is>
          <t>내용연수재추정(2022-01-01→3년); 상각중단(2021-06-01~2021-12-31); 내용연수종료</t>
        </is>
      </c>
      <c r="AC100" s="6" t="n">
        <v>0</v>
      </c>
      <c r="AD100" s="6">
        <f>IF(IF(J100&lt;&gt;"",IF(L100&lt;&gt;"",L100,F100),F100)="생산량비례법",(D100-E100)*N100/M100,IF(IF(J100&lt;&gt;"",IF(L100&lt;&gt;"",L100,F100),F100)="정률법",IF(X100-X100*H100*V100/12&lt;=(D100+IF(R100&lt;&gt;"",R100,0))*0.05,Y100,X100*H100*V100/12),IF(IF(J100&lt;&gt;"",IF(L100&lt;&gt;"",L100,F100),F100)="이중체감법",IF(X100-X100*H100*V100/12&lt;=E100,Y100,X100*H100*V100/12),Y100*H100*V100/12)))</f>
        <v/>
      </c>
      <c r="AE100" s="6">
        <f>AD100-AC100</f>
        <v/>
      </c>
      <c r="AF100" s="6" t="n">
        <v>5999999</v>
      </c>
      <c r="AG100" s="6">
        <f>IF(F100="생산량비례법",IF(O100&lt;&gt;"",(D100-E100)*O100/M100,""),(D100+IF(AND(R100&lt;&gt;"",Q100&lt;='기준정보'!$E$4),R100,0))-Z100)</f>
        <v/>
      </c>
      <c r="AH100" s="6">
        <f>AG100-AF100</f>
        <v/>
      </c>
      <c r="AI100" s="6">
        <f>IF(AF100="","",AF100+AC100)</f>
        <v/>
      </c>
      <c r="AJ100" s="6">
        <f>IF(AG100="","",AG100+AD100)</f>
        <v/>
      </c>
      <c r="AK100" s="6">
        <f>AJ100-AI100</f>
        <v/>
      </c>
      <c r="AL100" t="inlineStr">
        <is>
          <t>경미한 차이</t>
        </is>
      </c>
      <c r="AM100" t="inlineStr">
        <is>
          <t>-</t>
        </is>
      </c>
      <c r="AN100" t="inlineStr">
        <is>
          <t>-</t>
        </is>
      </c>
    </row>
    <row r="101">
      <c r="A101" t="inlineStr">
        <is>
          <t>경계_중단후재개후처분</t>
        </is>
      </c>
      <c r="B101" t="inlineStr">
        <is>
          <t>유형자산</t>
        </is>
      </c>
      <c r="C101" s="4" t="n">
        <v>43831</v>
      </c>
      <c r="D101" s="6" t="n">
        <v>12000000</v>
      </c>
      <c r="E101" s="6" t="n">
        <v>0</v>
      </c>
      <c r="F101" t="inlineStr">
        <is>
          <t>정액법</t>
        </is>
      </c>
      <c r="G101" t="n">
        <v>8</v>
      </c>
      <c r="H101" s="12">
        <f>IF(IF(J101&lt;&gt;"",IF(L101&lt;&gt;"",L101,F101),F101)="정률법",VLOOKUP(IF(J101&lt;&gt;"",K101,G101),'상각률표(별표4)'!$A$2:$C$60,3,FALSE),IF(IF(J101&lt;&gt;"",IF(L101&lt;&gt;"",L101,F101),F101)="생산량비례법","-",IF(IF(J101&lt;&gt;"",IF(L101&lt;&gt;"",L101,F101),F101)="이중체감법",2/IF(J101&lt;&gt;"",K101,G101),IF(IF(J101&lt;&gt;"",IF(L101&lt;&gt;"",L101,F101),F101)="연수합계법",(IF(J101&lt;&gt;"",K101,G101)-('기준정보'!$E$3-YEAR(IF(J101&lt;&gt;"",J101,C101))+1)+1)/(IF(J101&lt;&gt;"",K101,G101)*(IF(J101&lt;&gt;"",K101,G101)+1)/2),12/W101))))</f>
        <v/>
      </c>
      <c r="I101" s="4" t="n">
        <v>45930</v>
      </c>
      <c r="J101" s="4" t="inlineStr"/>
      <c r="K101" t="inlineStr"/>
      <c r="L101" t="inlineStr"/>
      <c r="M101" s="6" t="inlineStr"/>
      <c r="N101" s="6" t="inlineStr"/>
      <c r="O101" s="6" t="inlineStr"/>
      <c r="P101" s="6">
        <f>IF(OR(O101="",N101=""),"",O101+N101)</f>
        <v/>
      </c>
      <c r="Q101" s="4" t="inlineStr"/>
      <c r="R101" s="6" t="inlineStr"/>
      <c r="S101" s="4" t="n">
        <v>44562</v>
      </c>
      <c r="T101" s="4" t="n">
        <v>44742</v>
      </c>
      <c r="U101">
        <f>(YEAR('기준정보'!$E$2)-YEAR(C101))*12+MONTH('기준정보'!$E$2)-MONTH(C101)+1</f>
        <v/>
      </c>
      <c r="V101" t="n">
        <v>9</v>
      </c>
      <c r="W101" t="n">
        <v>96</v>
      </c>
      <c r="X101" s="6" t="n">
        <v>12000000</v>
      </c>
      <c r="Y101" s="6">
        <f>X101-E101</f>
        <v/>
      </c>
      <c r="Z101" s="6" t="n">
        <v>5250000</v>
      </c>
      <c r="AA101" t="inlineStr">
        <is>
          <t>-</t>
        </is>
      </c>
      <c r="AB101" t="inlineStr">
        <is>
          <t>당기중처분(2025-09-30); 상각중단(2022-01-01~2022-06-30)</t>
        </is>
      </c>
      <c r="AC101" s="6" t="n">
        <v>1125000</v>
      </c>
      <c r="AD101" s="6">
        <f>IF(IF(J101&lt;&gt;"",IF(L101&lt;&gt;"",L101,F101),F101)="생산량비례법",(D101-E101)*N101/M101,IF(IF(J101&lt;&gt;"",IF(L101&lt;&gt;"",L101,F101),F101)="정률법",IF(X101-X101*H101*V101/12&lt;=(D101+IF(R101&lt;&gt;"",R101,0))*0.05,Y101,X101*H101*V101/12),IF(IF(J101&lt;&gt;"",IF(L101&lt;&gt;"",L101,F101),F101)="이중체감법",IF(X101-X101*H101*V101/12&lt;=E101,Y101,X101*H101*V101/12),Y101*H101*V101/12)))</f>
        <v/>
      </c>
      <c r="AE101" s="6">
        <f>AD101-AC101</f>
        <v/>
      </c>
      <c r="AF101" s="6" t="n">
        <v>6750000</v>
      </c>
      <c r="AG101" s="6">
        <f>IF(F101="생산량비례법",IF(O101&lt;&gt;"",(D101-E101)*O101/M101,""),(D101+IF(AND(R101&lt;&gt;"",Q101&lt;='기준정보'!$E$4),R101,0))-Z101)</f>
        <v/>
      </c>
      <c r="AH101" s="6">
        <f>AG101-AF101</f>
        <v/>
      </c>
      <c r="AI101" s="6">
        <f>IF(AF101="","",AF101+AC101)</f>
        <v/>
      </c>
      <c r="AJ101" s="6">
        <f>IF(AG101="","",AG101+AD101)</f>
        <v/>
      </c>
      <c r="AK101" s="6">
        <f>AJ101-AI101</f>
        <v/>
      </c>
      <c r="AL101" t="inlineStr">
        <is>
          <t>경미한 차이</t>
        </is>
      </c>
      <c r="AM101" t="inlineStr">
        <is>
          <t>-</t>
        </is>
      </c>
      <c r="AN101" t="inlineStr">
        <is>
          <t>-</t>
        </is>
      </c>
    </row>
    <row r="102">
      <c r="A102" t="inlineStr">
        <is>
          <t>이중체감법기본자산_유형01</t>
        </is>
      </c>
      <c r="B102" t="inlineStr">
        <is>
          <t>유형자산</t>
        </is>
      </c>
      <c r="C102" s="4" t="n">
        <v>43831</v>
      </c>
      <c r="D102" s="6" t="n">
        <v>11400000</v>
      </c>
      <c r="E102" s="6" t="n">
        <v>500000</v>
      </c>
      <c r="F102" t="inlineStr">
        <is>
          <t>이중체감법</t>
        </is>
      </c>
      <c r="G102" t="n">
        <v>5</v>
      </c>
      <c r="H102" s="12">
        <f>IF(IF(J102&lt;&gt;"",IF(L102&lt;&gt;"",L102,F102),F102)="정률법",VLOOKUP(IF(J102&lt;&gt;"",K102,G102),'상각률표(별표4)'!$A$2:$C$60,3,FALSE),IF(IF(J102&lt;&gt;"",IF(L102&lt;&gt;"",L102,F102),F102)="생산량비례법","-",IF(IF(J102&lt;&gt;"",IF(L102&lt;&gt;"",L102,F102),F102)="이중체감법",2/IF(J102&lt;&gt;"",K102,G102),IF(IF(J102&lt;&gt;"",IF(L102&lt;&gt;"",L102,F102),F102)="연수합계법",(IF(J102&lt;&gt;"",K102,G102)-('기준정보'!$E$3-YEAR(IF(J102&lt;&gt;"",J102,C102))+1)+1)/(IF(J102&lt;&gt;"",K102,G102)*(IF(J102&lt;&gt;"",K102,G102)+1)/2),12/W102))))</f>
        <v/>
      </c>
      <c r="I102" s="4" t="inlineStr"/>
      <c r="J102" s="4" t="inlineStr"/>
      <c r="K102" t="inlineStr"/>
      <c r="L102" t="inlineStr"/>
      <c r="M102" s="6" t="inlineStr"/>
      <c r="N102" s="6" t="inlineStr"/>
      <c r="O102" s="6" t="inlineStr"/>
      <c r="P102" s="6">
        <f>IF(OR(O102="",N102=""),"",O102+N102)</f>
        <v/>
      </c>
      <c r="Q102" s="4" t="inlineStr"/>
      <c r="R102" s="6" t="inlineStr"/>
      <c r="S102" s="4" t="inlineStr"/>
      <c r="T102" s="4" t="inlineStr"/>
      <c r="U102">
        <f>(YEAR('기준정보'!$E$2)-YEAR(C102))*12+MONTH('기준정보'!$E$2)-MONTH(C102)+1</f>
        <v/>
      </c>
      <c r="V102">
        <f>MAX(0,MAX(0,MIN((IF(J102&lt;&gt;"",YEAR(J102)*12+MONTH(J102),YEAR(C102)*12+MONTH(C102))+W102-1),('기준정보'!$E$3*12+12),IF(I102&lt;&gt;"",YEAR(I102)*12+MONTH(I102),9999999))-MAX(IF(J102&lt;&gt;"",YEAR(J102)*12+MONTH(J102),YEAR(C102)*12+MONTH(C102)),('기준정보'!$E$3*12+1))+1)-IF(S102&lt;&gt;"",MAX(0,MIN(MIN((IF(J102&lt;&gt;"",YEAR(J102)*12+MONTH(J102),YEAR(C102)*12+MONTH(C102))+W102-1),('기준정보'!$E$3*12+12),IF(I102&lt;&gt;"",YEAR(I102)*12+MONTH(I102),9999999)),YEAR(T102)*12+MONTH(T102))-MAX(MAX(IF(J102&lt;&gt;"",YEAR(J102)*12+MONTH(J102),YEAR(C102)*12+MONTH(C102)),('기준정보'!$E$3*12+1)),YEAR(S102)*12+MONTH(S102))+1),0))</f>
        <v/>
      </c>
      <c r="W102">
        <f>IF(J102&lt;&gt;"",K102,G102)*12</f>
        <v/>
      </c>
      <c r="X102" s="6" t="n">
        <v>886464</v>
      </c>
      <c r="Y102" s="6">
        <f>X102-E102</f>
        <v/>
      </c>
      <c r="Z102" s="6" t="n">
        <v>886464</v>
      </c>
      <c r="AA102" t="inlineStr">
        <is>
          <t>종료</t>
        </is>
      </c>
      <c r="AB102" t="inlineStr">
        <is>
          <t>내용연수종료</t>
        </is>
      </c>
      <c r="AC102" s="6" t="n">
        <v>0</v>
      </c>
      <c r="AD102" s="6">
        <f>IF(IF(J102&lt;&gt;"",IF(L102&lt;&gt;"",L102,F102),F102)="생산량비례법",(D102-E102)*N102/M102,IF(IF(J102&lt;&gt;"",IF(L102&lt;&gt;"",L102,F102),F102)="정률법",IF(X102-X102*H102*V102/12&lt;=(D102+IF(R102&lt;&gt;"",R102,0))*0.05,Y102,X102*H102*V102/12),IF(IF(J102&lt;&gt;"",IF(L102&lt;&gt;"",L102,F102),F102)="이중체감법",IF(X102-X102*H102*V102/12&lt;=E102,Y102,X102*H102*V102/12),Y102*H102*V102/12)))</f>
        <v/>
      </c>
      <c r="AE102" s="6">
        <f>AD102-AC102</f>
        <v/>
      </c>
      <c r="AF102" s="6" t="n">
        <v>10513536</v>
      </c>
      <c r="AG102" s="6">
        <f>IF(F102="생산량비례법",IF(O102&lt;&gt;"",(D102-E102)*O102/M102,""),(D102+IF(AND(R102&lt;&gt;"",Q102&lt;='기준정보'!$E$4),R102,0))-Z102)</f>
        <v/>
      </c>
      <c r="AH102" s="6">
        <f>AG102-AF102</f>
        <v/>
      </c>
      <c r="AI102" s="6">
        <f>IF(AF102="","",AF102+AC102)</f>
        <v/>
      </c>
      <c r="AJ102" s="6">
        <f>IF(AG102="","",AG102+AD102)</f>
        <v/>
      </c>
      <c r="AK102" s="6">
        <f>AJ102-AI102</f>
        <v/>
      </c>
      <c r="AL102" t="inlineStr">
        <is>
          <t>경미한 차이</t>
        </is>
      </c>
      <c r="AM102" t="inlineStr">
        <is>
          <t>-</t>
        </is>
      </c>
      <c r="AN102" t="inlineStr">
        <is>
          <t>-</t>
        </is>
      </c>
    </row>
    <row r="103">
      <c r="A103" t="inlineStr">
        <is>
          <t>이중체감법기본자산_유형02</t>
        </is>
      </c>
      <c r="B103" t="inlineStr">
        <is>
          <t>유형자산</t>
        </is>
      </c>
      <c r="C103" s="4" t="n">
        <v>44742</v>
      </c>
      <c r="D103" s="6" t="n">
        <v>11800000</v>
      </c>
      <c r="E103" s="6" t="n">
        <v>500000</v>
      </c>
      <c r="F103" t="inlineStr">
        <is>
          <t>이중체감법</t>
        </is>
      </c>
      <c r="G103" t="n">
        <v>8</v>
      </c>
      <c r="H103" s="12">
        <f>IF(IF(J103&lt;&gt;"",IF(L103&lt;&gt;"",L103,F103),F103)="정률법",VLOOKUP(IF(J103&lt;&gt;"",K103,G103),'상각률표(별표4)'!$A$2:$C$60,3,FALSE),IF(IF(J103&lt;&gt;"",IF(L103&lt;&gt;"",L103,F103),F103)="생산량비례법","-",IF(IF(J103&lt;&gt;"",IF(L103&lt;&gt;"",L103,F103),F103)="이중체감법",2/IF(J103&lt;&gt;"",K103,G103),IF(IF(J103&lt;&gt;"",IF(L103&lt;&gt;"",L103,F103),F103)="연수합계법",(IF(J103&lt;&gt;"",K103,G103)-('기준정보'!$E$3-YEAR(IF(J103&lt;&gt;"",J103,C103))+1)+1)/(IF(J103&lt;&gt;"",K103,G103)*(IF(J103&lt;&gt;"",K103,G103)+1)/2),12/W103))))</f>
        <v/>
      </c>
      <c r="I103" s="4" t="inlineStr"/>
      <c r="J103" s="4" t="inlineStr"/>
      <c r="K103" t="inlineStr"/>
      <c r="L103" t="inlineStr"/>
      <c r="M103" s="6" t="inlineStr"/>
      <c r="N103" s="6" t="inlineStr"/>
      <c r="O103" s="6" t="inlineStr"/>
      <c r="P103" s="6">
        <f>IF(OR(O103="",N103=""),"",O103+N103)</f>
        <v/>
      </c>
      <c r="Q103" s="4" t="inlineStr"/>
      <c r="R103" s="6" t="inlineStr"/>
      <c r="S103" s="4" t="inlineStr"/>
      <c r="T103" s="4" t="inlineStr"/>
      <c r="U103">
        <f>(YEAR('기준정보'!$E$2)-YEAR(C103))*12+MONTH('기준정보'!$E$2)-MONTH(C103)+1</f>
        <v/>
      </c>
      <c r="V103">
        <f>MAX(0,MAX(0,MIN((IF(J103&lt;&gt;"",YEAR(J103)*12+MONTH(J103),YEAR(C103)*12+MONTH(C103))+W103-1),('기준정보'!$E$3*12+12),IF(I103&lt;&gt;"",YEAR(I103)*12+MONTH(I103),9999999))-MAX(IF(J103&lt;&gt;"",YEAR(J103)*12+MONTH(J103),YEAR(C103)*12+MONTH(C103)),('기준정보'!$E$3*12+1))+1)-IF(S103&lt;&gt;"",MAX(0,MIN(MIN((IF(J103&lt;&gt;"",YEAR(J103)*12+MONTH(J103),YEAR(C103)*12+MONTH(C103))+W103-1),('기준정보'!$E$3*12+12),IF(I103&lt;&gt;"",YEAR(I103)*12+MONTH(I103),9999999)),YEAR(T103)*12+MONTH(T103))-MAX(MAX(IF(J103&lt;&gt;"",YEAR(J103)*12+MONTH(J103),YEAR(C103)*12+MONTH(C103)),('기준정보'!$E$3*12+1)),YEAR(S103)*12+MONTH(S103))+1),0))</f>
        <v/>
      </c>
      <c r="W103">
        <f>IF(J103&lt;&gt;"",K103,G103)*12</f>
        <v/>
      </c>
      <c r="X103" s="6" t="n">
        <v>5669531.25</v>
      </c>
      <c r="Y103" s="6">
        <f>X103-E103</f>
        <v/>
      </c>
      <c r="Z103" s="6" t="n">
        <v>5669531.25</v>
      </c>
      <c r="AA103" t="inlineStr">
        <is>
          <t>-</t>
        </is>
      </c>
      <c r="AB103" t="inlineStr">
        <is>
          <t>-</t>
        </is>
      </c>
      <c r="AC103" s="6" t="n">
        <v>1417383</v>
      </c>
      <c r="AD103" s="6">
        <f>IF(IF(J103&lt;&gt;"",IF(L103&lt;&gt;"",L103,F103),F103)="생산량비례법",(D103-E103)*N103/M103,IF(IF(J103&lt;&gt;"",IF(L103&lt;&gt;"",L103,F103),F103)="정률법",IF(X103-X103*H103*V103/12&lt;=(D103+IF(R103&lt;&gt;"",R103,0))*0.05,Y103,X103*H103*V103/12),IF(IF(J103&lt;&gt;"",IF(L103&lt;&gt;"",L103,F103),F103)="이중체감법",IF(X103-X103*H103*V103/12&lt;=E103,Y103,X103*H103*V103/12),Y103*H103*V103/12)))</f>
        <v/>
      </c>
      <c r="AE103" s="6">
        <f>AD103-AC103</f>
        <v/>
      </c>
      <c r="AF103" s="6" t="n">
        <v>6130469</v>
      </c>
      <c r="AG103" s="6">
        <f>IF(F103="생산량비례법",IF(O103&lt;&gt;"",(D103-E103)*O103/M103,""),(D103+IF(AND(R103&lt;&gt;"",Q103&lt;='기준정보'!$E$4),R103,0))-Z103)</f>
        <v/>
      </c>
      <c r="AH103" s="6">
        <f>AG103-AF103</f>
        <v/>
      </c>
      <c r="AI103" s="6">
        <f>IF(AF103="","",AF103+AC103)</f>
        <v/>
      </c>
      <c r="AJ103" s="6">
        <f>IF(AG103="","",AG103+AD103)</f>
        <v/>
      </c>
      <c r="AK103" s="6">
        <f>AJ103-AI103</f>
        <v/>
      </c>
      <c r="AL103" t="inlineStr">
        <is>
          <t>경미한 차이</t>
        </is>
      </c>
      <c r="AM103" t="inlineStr">
        <is>
          <t>-</t>
        </is>
      </c>
      <c r="AN103" t="inlineStr">
        <is>
          <t>-</t>
        </is>
      </c>
    </row>
    <row r="104">
      <c r="A104" t="inlineStr">
        <is>
          <t>이중체감법기본자산_유형03</t>
        </is>
      </c>
      <c r="B104" t="inlineStr">
        <is>
          <t>유형자산</t>
        </is>
      </c>
      <c r="C104" s="4" t="n">
        <v>45108</v>
      </c>
      <c r="D104" s="6" t="n">
        <v>12200000</v>
      </c>
      <c r="E104" s="6" t="n">
        <v>500000</v>
      </c>
      <c r="F104" t="inlineStr">
        <is>
          <t>이중체감법</t>
        </is>
      </c>
      <c r="G104" t="n">
        <v>10</v>
      </c>
      <c r="H104" s="12">
        <f>IF(IF(J104&lt;&gt;"",IF(L104&lt;&gt;"",L104,F104),F104)="정률법",VLOOKUP(IF(J104&lt;&gt;"",K104,G104),'상각률표(별표4)'!$A$2:$C$60,3,FALSE),IF(IF(J104&lt;&gt;"",IF(L104&lt;&gt;"",L104,F104),F104)="생산량비례법","-",IF(IF(J104&lt;&gt;"",IF(L104&lt;&gt;"",L104,F104),F104)="이중체감법",2/IF(J104&lt;&gt;"",K104,G104),IF(IF(J104&lt;&gt;"",IF(L104&lt;&gt;"",L104,F104),F104)="연수합계법",(IF(J104&lt;&gt;"",K104,G104)-('기준정보'!$E$3-YEAR(IF(J104&lt;&gt;"",J104,C104))+1)+1)/(IF(J104&lt;&gt;"",K104,G104)*(IF(J104&lt;&gt;"",K104,G104)+1)/2),12/W104))))</f>
        <v/>
      </c>
      <c r="I104" s="4" t="inlineStr"/>
      <c r="J104" s="4" t="inlineStr"/>
      <c r="K104" t="inlineStr"/>
      <c r="L104" t="inlineStr"/>
      <c r="M104" s="6" t="inlineStr"/>
      <c r="N104" s="6" t="inlineStr"/>
      <c r="O104" s="6" t="inlineStr"/>
      <c r="P104" s="6">
        <f>IF(OR(O104="",N104=""),"",O104+N104)</f>
        <v/>
      </c>
      <c r="Q104" s="4" t="inlineStr"/>
      <c r="R104" s="6" t="inlineStr"/>
      <c r="S104" s="4" t="inlineStr"/>
      <c r="T104" s="4" t="inlineStr"/>
      <c r="U104">
        <f>(YEAR('기준정보'!$E$2)-YEAR(C104))*12+MONTH('기준정보'!$E$2)-MONTH(C104)+1</f>
        <v/>
      </c>
      <c r="V104">
        <f>MAX(0,MAX(0,MIN((IF(J104&lt;&gt;"",YEAR(J104)*12+MONTH(J104),YEAR(C104)*12+MONTH(C104))+W104-1),('기준정보'!$E$3*12+12),IF(I104&lt;&gt;"",YEAR(I104)*12+MONTH(I104),9999999))-MAX(IF(J104&lt;&gt;"",YEAR(J104)*12+MONTH(J104),YEAR(C104)*12+MONTH(C104)),('기준정보'!$E$3*12+1))+1)-IF(S104&lt;&gt;"",MAX(0,MIN(MIN((IF(J104&lt;&gt;"",YEAR(J104)*12+MONTH(J104),YEAR(C104)*12+MONTH(C104))+W104-1),('기준정보'!$E$3*12+12),IF(I104&lt;&gt;"",YEAR(I104)*12+MONTH(I104),9999999)),YEAR(T104)*12+MONTH(T104))-MAX(MAX(IF(J104&lt;&gt;"",YEAR(J104)*12+MONTH(J104),YEAR(C104)*12+MONTH(C104)),('기준정보'!$E$3*12+1)),YEAR(S104)*12+MONTH(S104))+1),0))</f>
        <v/>
      </c>
      <c r="W104">
        <f>IF(J104&lt;&gt;"",K104,G104)*12</f>
        <v/>
      </c>
      <c r="X104" s="6" t="n">
        <v>8784000</v>
      </c>
      <c r="Y104" s="6">
        <f>X104-E104</f>
        <v/>
      </c>
      <c r="Z104" s="6" t="n">
        <v>8784000</v>
      </c>
      <c r="AA104" t="inlineStr">
        <is>
          <t>-</t>
        </is>
      </c>
      <c r="AB104" t="inlineStr">
        <is>
          <t>-</t>
        </is>
      </c>
      <c r="AC104" s="6" t="n">
        <v>1756800</v>
      </c>
      <c r="AD104" s="6">
        <f>IF(IF(J104&lt;&gt;"",IF(L104&lt;&gt;"",L104,F104),F104)="생산량비례법",(D104-E104)*N104/M104,IF(IF(J104&lt;&gt;"",IF(L104&lt;&gt;"",L104,F104),F104)="정률법",IF(X104-X104*H104*V104/12&lt;=(D104+IF(R104&lt;&gt;"",R104,0))*0.05,Y104,X104*H104*V104/12),IF(IF(J104&lt;&gt;"",IF(L104&lt;&gt;"",L104,F104),F104)="이중체감법",IF(X104-X104*H104*V104/12&lt;=E104,Y104,X104*H104*V104/12),Y104*H104*V104/12)))</f>
        <v/>
      </c>
      <c r="AE104" s="6">
        <f>AD104-AC104</f>
        <v/>
      </c>
      <c r="AF104" s="6" t="n">
        <v>3416000</v>
      </c>
      <c r="AG104" s="6">
        <f>IF(F104="생산량비례법",IF(O104&lt;&gt;"",(D104-E104)*O104/M104,""),(D104+IF(AND(R104&lt;&gt;"",Q104&lt;='기준정보'!$E$4),R104,0))-Z104)</f>
        <v/>
      </c>
      <c r="AH104" s="6">
        <f>AG104-AF104</f>
        <v/>
      </c>
      <c r="AI104" s="6">
        <f>IF(AF104="","",AF104+AC104)</f>
        <v/>
      </c>
      <c r="AJ104" s="6">
        <f>IF(AG104="","",AG104+AD104)</f>
        <v/>
      </c>
      <c r="AK104" s="6">
        <f>AJ104-AI104</f>
        <v/>
      </c>
      <c r="AL104" t="inlineStr">
        <is>
          <t>경미한 차이</t>
        </is>
      </c>
      <c r="AM104" t="inlineStr">
        <is>
          <t>-</t>
        </is>
      </c>
      <c r="AN104" t="inlineStr">
        <is>
          <t>-</t>
        </is>
      </c>
    </row>
    <row r="105">
      <c r="A105" t="inlineStr">
        <is>
          <t>이중체감법기본자산_무형01</t>
        </is>
      </c>
      <c r="B105" t="inlineStr">
        <is>
          <t>무형자산</t>
        </is>
      </c>
      <c r="C105" s="4" t="n">
        <v>43831</v>
      </c>
      <c r="D105" s="6" t="n">
        <v>8800000</v>
      </c>
      <c r="E105" s="6" t="n">
        <v>0</v>
      </c>
      <c r="F105" t="inlineStr">
        <is>
          <t>이중체감법</t>
        </is>
      </c>
      <c r="G105" t="n">
        <v>6</v>
      </c>
      <c r="H105" s="12">
        <f>IF(IF(J105&lt;&gt;"",IF(L105&lt;&gt;"",L105,F105),F105)="정률법",VLOOKUP(IF(J105&lt;&gt;"",K105,G105),'상각률표(별표4)'!$A$2:$C$60,3,FALSE),IF(IF(J105&lt;&gt;"",IF(L105&lt;&gt;"",L105,F105),F105)="생산량비례법","-",IF(IF(J105&lt;&gt;"",IF(L105&lt;&gt;"",L105,F105),F105)="이중체감법",2/IF(J105&lt;&gt;"",K105,G105),IF(IF(J105&lt;&gt;"",IF(L105&lt;&gt;"",L105,F105),F105)="연수합계법",(IF(J105&lt;&gt;"",K105,G105)-('기준정보'!$E$3-YEAR(IF(J105&lt;&gt;"",J105,C105))+1)+1)/(IF(J105&lt;&gt;"",K105,G105)*(IF(J105&lt;&gt;"",K105,G105)+1)/2),12/W105))))</f>
        <v/>
      </c>
      <c r="I105" s="4" t="inlineStr"/>
      <c r="J105" s="4" t="inlineStr"/>
      <c r="K105" t="inlineStr"/>
      <c r="L105" t="inlineStr"/>
      <c r="M105" s="6" t="inlineStr"/>
      <c r="N105" s="6" t="inlineStr"/>
      <c r="O105" s="6" t="inlineStr"/>
      <c r="P105" s="6">
        <f>IF(OR(O105="",N105=""),"",O105+N105)</f>
        <v/>
      </c>
      <c r="Q105" s="4" t="inlineStr"/>
      <c r="R105" s="6" t="inlineStr"/>
      <c r="S105" s="4" t="inlineStr"/>
      <c r="T105" s="4" t="inlineStr"/>
      <c r="U105">
        <f>(YEAR('기준정보'!$E$2)-YEAR(C105))*12+MONTH('기준정보'!$E$2)-MONTH(C105)+1</f>
        <v/>
      </c>
      <c r="V105">
        <f>MAX(0,MAX(0,MIN((IF(J105&lt;&gt;"",YEAR(J105)*12+MONTH(J105),YEAR(C105)*12+MONTH(C105))+W105-1),('기준정보'!$E$3*12+12),IF(I105&lt;&gt;"",YEAR(I105)*12+MONTH(I105),9999999))-MAX(IF(J105&lt;&gt;"",YEAR(J105)*12+MONTH(J105),YEAR(C105)*12+MONTH(C105)),('기준정보'!$E$3*12+1))+1)-IF(S105&lt;&gt;"",MAX(0,MIN(MIN((IF(J105&lt;&gt;"",YEAR(J105)*12+MONTH(J105),YEAR(C105)*12+MONTH(C105))+W105-1),('기준정보'!$E$3*12+12),IF(I105&lt;&gt;"",YEAR(I105)*12+MONTH(I105),9999999)),YEAR(T105)*12+MONTH(T105))-MAX(MAX(IF(J105&lt;&gt;"",YEAR(J105)*12+MONTH(J105),YEAR(C105)*12+MONTH(C105)),('기준정보'!$E$3*12+1)),YEAR(S105)*12+MONTH(S105))+1),0))</f>
        <v/>
      </c>
      <c r="W105">
        <f>IF(J105&lt;&gt;"",K105,G105)*12</f>
        <v/>
      </c>
      <c r="X105" s="6" t="n">
        <v>1158847.736625515</v>
      </c>
      <c r="Y105" s="6">
        <f>X105-E105</f>
        <v/>
      </c>
      <c r="Z105" s="6" t="n">
        <v>1158847.736625515</v>
      </c>
      <c r="AA105" t="inlineStr">
        <is>
          <t>-</t>
        </is>
      </c>
      <c r="AB105" t="inlineStr">
        <is>
          <t>-</t>
        </is>
      </c>
      <c r="AC105" s="6" t="n">
        <v>386283</v>
      </c>
      <c r="AD105" s="6">
        <f>IF(IF(J105&lt;&gt;"",IF(L105&lt;&gt;"",L105,F105),F105)="생산량비례법",(D105-E105)*N105/M105,IF(IF(J105&lt;&gt;"",IF(L105&lt;&gt;"",L105,F105),F105)="정률법",IF(X105-X105*H105*V105/12&lt;=(D105+IF(R105&lt;&gt;"",R105,0))*0.05,Y105,X105*H105*V105/12),IF(IF(J105&lt;&gt;"",IF(L105&lt;&gt;"",L105,F105),F105)="이중체감법",IF(X105-X105*H105*V105/12&lt;=E105,Y105,X105*H105*V105/12),Y105*H105*V105/12)))</f>
        <v/>
      </c>
      <c r="AE105" s="6">
        <f>AD105-AC105</f>
        <v/>
      </c>
      <c r="AF105" s="6" t="n">
        <v>7641153</v>
      </c>
      <c r="AG105" s="6">
        <f>IF(F105="생산량비례법",IF(O105&lt;&gt;"",(D105-E105)*O105/M105,""),(D105+IF(AND(R105&lt;&gt;"",Q105&lt;='기준정보'!$E$4),R105,0))-Z105)</f>
        <v/>
      </c>
      <c r="AH105" s="6">
        <f>AG105-AF105</f>
        <v/>
      </c>
      <c r="AI105" s="6">
        <f>IF(AF105="","",AF105+AC105)</f>
        <v/>
      </c>
      <c r="AJ105" s="6">
        <f>IF(AG105="","",AG105+AD105)</f>
        <v/>
      </c>
      <c r="AK105" s="6">
        <f>AJ105-AI105</f>
        <v/>
      </c>
      <c r="AL105" t="inlineStr">
        <is>
          <t>경미한 차이</t>
        </is>
      </c>
      <c r="AM105" t="inlineStr">
        <is>
          <t>-</t>
        </is>
      </c>
      <c r="AN105" t="inlineStr">
        <is>
          <t>-</t>
        </is>
      </c>
    </row>
    <row r="106">
      <c r="A106" t="inlineStr">
        <is>
          <t>이중체감법기본자산_무형02</t>
        </is>
      </c>
      <c r="B106" t="inlineStr">
        <is>
          <t>무형자산</t>
        </is>
      </c>
      <c r="C106" s="4" t="n">
        <v>44742</v>
      </c>
      <c r="D106" s="6" t="n">
        <v>9100000</v>
      </c>
      <c r="E106" s="6" t="n">
        <v>0</v>
      </c>
      <c r="F106" t="inlineStr">
        <is>
          <t>이중체감법</t>
        </is>
      </c>
      <c r="G106" t="n">
        <v>12</v>
      </c>
      <c r="H106" s="12">
        <f>IF(IF(J106&lt;&gt;"",IF(L106&lt;&gt;"",L106,F106),F106)="정률법",VLOOKUP(IF(J106&lt;&gt;"",K106,G106),'상각률표(별표4)'!$A$2:$C$60,3,FALSE),IF(IF(J106&lt;&gt;"",IF(L106&lt;&gt;"",L106,F106),F106)="생산량비례법","-",IF(IF(J106&lt;&gt;"",IF(L106&lt;&gt;"",L106,F106),F106)="이중체감법",2/IF(J106&lt;&gt;"",K106,G106),IF(IF(J106&lt;&gt;"",IF(L106&lt;&gt;"",L106,F106),F106)="연수합계법",(IF(J106&lt;&gt;"",K106,G106)-('기준정보'!$E$3-YEAR(IF(J106&lt;&gt;"",J106,C106))+1)+1)/(IF(J106&lt;&gt;"",K106,G106)*(IF(J106&lt;&gt;"",K106,G106)+1)/2),12/W106))))</f>
        <v/>
      </c>
      <c r="I106" s="4" t="inlineStr"/>
      <c r="J106" s="4" t="inlineStr"/>
      <c r="K106" t="inlineStr"/>
      <c r="L106" t="inlineStr"/>
      <c r="M106" s="6" t="inlineStr"/>
      <c r="N106" s="6" t="inlineStr"/>
      <c r="O106" s="6" t="inlineStr"/>
      <c r="P106" s="6">
        <f>IF(OR(O106="",N106=""),"",O106+N106)</f>
        <v/>
      </c>
      <c r="Q106" s="4" t="inlineStr"/>
      <c r="R106" s="6" t="inlineStr"/>
      <c r="S106" s="4" t="inlineStr"/>
      <c r="T106" s="4" t="inlineStr"/>
      <c r="U106">
        <f>(YEAR('기준정보'!$E$2)-YEAR(C106))*12+MONTH('기준정보'!$E$2)-MONTH(C106)+1</f>
        <v/>
      </c>
      <c r="V106">
        <f>MAX(0,MAX(0,MIN((IF(J106&lt;&gt;"",YEAR(J106)*12+MONTH(J106),YEAR(C106)*12+MONTH(C106))+W106-1),('기준정보'!$E$3*12+12),IF(I106&lt;&gt;"",YEAR(I106)*12+MONTH(I106),9999999))-MAX(IF(J106&lt;&gt;"",YEAR(J106)*12+MONTH(J106),YEAR(C106)*12+MONTH(C106)),('기준정보'!$E$3*12+1))+1)-IF(S106&lt;&gt;"",MAX(0,MIN(MIN((IF(J106&lt;&gt;"",YEAR(J106)*12+MONTH(J106),YEAR(C106)*12+MONTH(C106))+W106-1),('기준정보'!$E$3*12+12),IF(I106&lt;&gt;"",YEAR(I106)*12+MONTH(I106),9999999)),YEAR(T106)*12+MONTH(T106))-MAX(MAX(IF(J106&lt;&gt;"",YEAR(J106)*12+MONTH(J106),YEAR(C106)*12+MONTH(C106)),('기준정보'!$E$3*12+1)),YEAR(S106)*12+MONTH(S106))+1),0))</f>
        <v/>
      </c>
      <c r="W106">
        <f>IF(J106&lt;&gt;"",K106,G106)*12</f>
        <v/>
      </c>
      <c r="X106" s="6" t="n">
        <v>5705054.012345679</v>
      </c>
      <c r="Y106" s="6">
        <f>X106-E106</f>
        <v/>
      </c>
      <c r="Z106" s="6" t="n">
        <v>5705054.012345679</v>
      </c>
      <c r="AA106" t="inlineStr">
        <is>
          <t>-</t>
        </is>
      </c>
      <c r="AB106" t="inlineStr">
        <is>
          <t>-</t>
        </is>
      </c>
      <c r="AC106" s="6" t="n">
        <v>950842</v>
      </c>
      <c r="AD106" s="6">
        <f>IF(IF(J106&lt;&gt;"",IF(L106&lt;&gt;"",L106,F106),F106)="생산량비례법",(D106-E106)*N106/M106,IF(IF(J106&lt;&gt;"",IF(L106&lt;&gt;"",L106,F106),F106)="정률법",IF(X106-X106*H106*V106/12&lt;=(D106+IF(R106&lt;&gt;"",R106,0))*0.05,Y106,X106*H106*V106/12),IF(IF(J106&lt;&gt;"",IF(L106&lt;&gt;"",L106,F106),F106)="이중체감법",IF(X106-X106*H106*V106/12&lt;=E106,Y106,X106*H106*V106/12),Y106*H106*V106/12)))</f>
        <v/>
      </c>
      <c r="AE106" s="6">
        <f>AD106-AC106</f>
        <v/>
      </c>
      <c r="AF106" s="6" t="n">
        <v>3394946</v>
      </c>
      <c r="AG106" s="6">
        <f>IF(F106="생산량비례법",IF(O106&lt;&gt;"",(D106-E106)*O106/M106,""),(D106+IF(AND(R106&lt;&gt;"",Q106&lt;='기준정보'!$E$4),R106,0))-Z106)</f>
        <v/>
      </c>
      <c r="AH106" s="6">
        <f>AG106-AF106</f>
        <v/>
      </c>
      <c r="AI106" s="6">
        <f>IF(AF106="","",AF106+AC106)</f>
        <v/>
      </c>
      <c r="AJ106" s="6">
        <f>IF(AG106="","",AG106+AD106)</f>
        <v/>
      </c>
      <c r="AK106" s="6">
        <f>AJ106-AI106</f>
        <v/>
      </c>
      <c r="AL106" t="inlineStr">
        <is>
          <t>경미한 차이</t>
        </is>
      </c>
      <c r="AM106" t="inlineStr">
        <is>
          <t>-</t>
        </is>
      </c>
      <c r="AN106" t="inlineStr">
        <is>
          <t>-</t>
        </is>
      </c>
    </row>
    <row r="107">
      <c r="A107" t="inlineStr">
        <is>
          <t>연수합계법기본자산_유형01</t>
        </is>
      </c>
      <c r="B107" t="inlineStr">
        <is>
          <t>유형자산</t>
        </is>
      </c>
      <c r="C107" s="4" t="n">
        <v>43831</v>
      </c>
      <c r="D107" s="6" t="n">
        <v>10900000</v>
      </c>
      <c r="E107" s="6" t="n">
        <v>500000</v>
      </c>
      <c r="F107" t="inlineStr">
        <is>
          <t>연수합계법</t>
        </is>
      </c>
      <c r="G107" t="n">
        <v>5</v>
      </c>
      <c r="H107" s="12">
        <f>IF(IF(J107&lt;&gt;"",IF(L107&lt;&gt;"",L107,F107),F107)="정률법",VLOOKUP(IF(J107&lt;&gt;"",K107,G107),'상각률표(별표4)'!$A$2:$C$60,3,FALSE),IF(IF(J107&lt;&gt;"",IF(L107&lt;&gt;"",L107,F107),F107)="생산량비례법","-",IF(IF(J107&lt;&gt;"",IF(L107&lt;&gt;"",L107,F107),F107)="이중체감법",2/IF(J107&lt;&gt;"",K107,G107),IF(IF(J107&lt;&gt;"",IF(L107&lt;&gt;"",L107,F107),F107)="연수합계법",(IF(J107&lt;&gt;"",K107,G107)-('기준정보'!$E$3-YEAR(IF(J107&lt;&gt;"",J107,C107))+1)+1)/(IF(J107&lt;&gt;"",K107,G107)*(IF(J107&lt;&gt;"",K107,G107)+1)/2),12/W107))))</f>
        <v/>
      </c>
      <c r="I107" s="4" t="inlineStr"/>
      <c r="J107" s="4" t="inlineStr"/>
      <c r="K107" t="inlineStr"/>
      <c r="L107" t="inlineStr"/>
      <c r="M107" s="6" t="inlineStr"/>
      <c r="N107" s="6" t="inlineStr"/>
      <c r="O107" s="6" t="inlineStr"/>
      <c r="P107" s="6">
        <f>IF(OR(O107="",N107=""),"",O107+N107)</f>
        <v/>
      </c>
      <c r="Q107" s="4" t="inlineStr"/>
      <c r="R107" s="6" t="inlineStr"/>
      <c r="S107" s="4" t="inlineStr"/>
      <c r="T107" s="4" t="inlineStr"/>
      <c r="U107">
        <f>(YEAR('기준정보'!$E$2)-YEAR(C107))*12+MONTH('기준정보'!$E$2)-MONTH(C107)+1</f>
        <v/>
      </c>
      <c r="V107">
        <f>MAX(0,MAX(0,MIN((IF(J107&lt;&gt;"",YEAR(J107)*12+MONTH(J107),YEAR(C107)*12+MONTH(C107))+W107-1),('기준정보'!$E$3*12+12),IF(I107&lt;&gt;"",YEAR(I107)*12+MONTH(I107),9999999))-MAX(IF(J107&lt;&gt;"",YEAR(J107)*12+MONTH(J107),YEAR(C107)*12+MONTH(C107)),('기준정보'!$E$3*12+1))+1)-IF(S107&lt;&gt;"",MAX(0,MIN(MIN((IF(J107&lt;&gt;"",YEAR(J107)*12+MONTH(J107),YEAR(C107)*12+MONTH(C107))+W107-1),('기준정보'!$E$3*12+12),IF(I107&lt;&gt;"",YEAR(I107)*12+MONTH(I107),9999999)),YEAR(T107)*12+MONTH(T107))-MAX(MAX(IF(J107&lt;&gt;"",YEAR(J107)*12+MONTH(J107),YEAR(C107)*12+MONTH(C107)),('기준정보'!$E$3*12+1)),YEAR(S107)*12+MONTH(S107))+1),0))</f>
        <v/>
      </c>
      <c r="W107">
        <f>IF(J107&lt;&gt;"",K107,G107)*12</f>
        <v/>
      </c>
      <c r="X107" s="6" t="n">
        <v>10900000</v>
      </c>
      <c r="Y107" s="6">
        <f>X107-E107</f>
        <v/>
      </c>
      <c r="Z107" s="6" t="n">
        <v>499999.9999999999</v>
      </c>
      <c r="AA107" t="inlineStr">
        <is>
          <t>종료</t>
        </is>
      </c>
      <c r="AB107" t="inlineStr">
        <is>
          <t>내용연수종료</t>
        </is>
      </c>
      <c r="AC107" s="6" t="n">
        <v>0</v>
      </c>
      <c r="AD107" s="6">
        <f>IF(IF(J107&lt;&gt;"",IF(L107&lt;&gt;"",L107,F107),F107)="생산량비례법",(D107-E107)*N107/M107,IF(IF(J107&lt;&gt;"",IF(L107&lt;&gt;"",L107,F107),F107)="정률법",IF(X107-X107*H107*V107/12&lt;=(D107+IF(R107&lt;&gt;"",R107,0))*0.05,Y107,X107*H107*V107/12),IF(IF(J107&lt;&gt;"",IF(L107&lt;&gt;"",L107,F107),F107)="이중체감법",IF(X107-X107*H107*V107/12&lt;=E107,Y107,X107*H107*V107/12),Y107*H107*V107/12)))</f>
        <v/>
      </c>
      <c r="AE107" s="6">
        <f>AD107-AC107</f>
        <v/>
      </c>
      <c r="AF107" s="6" t="n">
        <v>10400000</v>
      </c>
      <c r="AG107" s="6">
        <f>IF(F107="생산량비례법",IF(O107&lt;&gt;"",(D107-E107)*O107/M107,""),(D107+IF(AND(R107&lt;&gt;"",Q107&lt;='기준정보'!$E$4),R107,0))-Z107)</f>
        <v/>
      </c>
      <c r="AH107" s="6">
        <f>AG107-AF107</f>
        <v/>
      </c>
      <c r="AI107" s="6">
        <f>IF(AF107="","",AF107+AC107)</f>
        <v/>
      </c>
      <c r="AJ107" s="6">
        <f>IF(AG107="","",AG107+AD107)</f>
        <v/>
      </c>
      <c r="AK107" s="6">
        <f>AJ107-AI107</f>
        <v/>
      </c>
      <c r="AL107" t="inlineStr">
        <is>
          <t>경미한 차이</t>
        </is>
      </c>
      <c r="AM107" t="inlineStr">
        <is>
          <t>-</t>
        </is>
      </c>
      <c r="AN107" t="inlineStr">
        <is>
          <t>-</t>
        </is>
      </c>
    </row>
    <row r="108">
      <c r="A108" t="inlineStr">
        <is>
          <t>연수합계법기본자산_유형02</t>
        </is>
      </c>
      <c r="B108" t="inlineStr">
        <is>
          <t>유형자산</t>
        </is>
      </c>
      <c r="C108" s="4" t="n">
        <v>44742</v>
      </c>
      <c r="D108" s="6" t="n">
        <v>11300000</v>
      </c>
      <c r="E108" s="6" t="n">
        <v>500000</v>
      </c>
      <c r="F108" t="inlineStr">
        <is>
          <t>연수합계법</t>
        </is>
      </c>
      <c r="G108" t="n">
        <v>7</v>
      </c>
      <c r="H108" s="12">
        <f>IF(IF(J108&lt;&gt;"",IF(L108&lt;&gt;"",L108,F108),F108)="정률법",VLOOKUP(IF(J108&lt;&gt;"",K108,G108),'상각률표(별표4)'!$A$2:$C$60,3,FALSE),IF(IF(J108&lt;&gt;"",IF(L108&lt;&gt;"",L108,F108),F108)="생산량비례법","-",IF(IF(J108&lt;&gt;"",IF(L108&lt;&gt;"",L108,F108),F108)="이중체감법",2/IF(J108&lt;&gt;"",K108,G108),IF(IF(J108&lt;&gt;"",IF(L108&lt;&gt;"",L108,F108),F108)="연수합계법",(IF(J108&lt;&gt;"",K108,G108)-('기준정보'!$E$3-YEAR(IF(J108&lt;&gt;"",J108,C108))+1)+1)/(IF(J108&lt;&gt;"",K108,G108)*(IF(J108&lt;&gt;"",K108,G108)+1)/2),12/W108))))</f>
        <v/>
      </c>
      <c r="I108" s="4" t="inlineStr"/>
      <c r="J108" s="4" t="inlineStr"/>
      <c r="K108" t="inlineStr"/>
      <c r="L108" t="inlineStr"/>
      <c r="M108" s="6" t="inlineStr"/>
      <c r="N108" s="6" t="inlineStr"/>
      <c r="O108" s="6" t="inlineStr"/>
      <c r="P108" s="6">
        <f>IF(OR(O108="",N108=""),"",O108+N108)</f>
        <v/>
      </c>
      <c r="Q108" s="4" t="inlineStr"/>
      <c r="R108" s="6" t="inlineStr"/>
      <c r="S108" s="4" t="inlineStr"/>
      <c r="T108" s="4" t="inlineStr"/>
      <c r="U108">
        <f>(YEAR('기준정보'!$E$2)-YEAR(C108))*12+MONTH('기준정보'!$E$2)-MONTH(C108)+1</f>
        <v/>
      </c>
      <c r="V108">
        <f>MAX(0,MAX(0,MIN((IF(J108&lt;&gt;"",YEAR(J108)*12+MONTH(J108),YEAR(C108)*12+MONTH(C108))+W108-1),('기준정보'!$E$3*12+12),IF(I108&lt;&gt;"",YEAR(I108)*12+MONTH(I108),9999999))-MAX(IF(J108&lt;&gt;"",YEAR(J108)*12+MONTH(J108),YEAR(C108)*12+MONTH(C108)),('기준정보'!$E$3*12+1))+1)-IF(S108&lt;&gt;"",MAX(0,MIN(MIN((IF(J108&lt;&gt;"",YEAR(J108)*12+MONTH(J108),YEAR(C108)*12+MONTH(C108))+W108-1),('기준정보'!$E$3*12+12),IF(I108&lt;&gt;"",YEAR(I108)*12+MONTH(I108),9999999)),YEAR(T108)*12+MONTH(T108))-MAX(MAX(IF(J108&lt;&gt;"",YEAR(J108)*12+MONTH(J108),YEAR(C108)*12+MONTH(C108)),('기준정보'!$E$3*12+1)),YEAR(S108)*12+MONTH(S108))+1),0))</f>
        <v/>
      </c>
      <c r="W108">
        <f>IF(J108&lt;&gt;"",K108,G108)*12</f>
        <v/>
      </c>
      <c r="X108" s="6" t="n">
        <v>11300000</v>
      </c>
      <c r="Y108" s="6">
        <f>X108-E108</f>
        <v/>
      </c>
      <c r="Z108" s="6" t="n">
        <v>5482142.857142857</v>
      </c>
      <c r="AA108" t="inlineStr">
        <is>
          <t>-</t>
        </is>
      </c>
      <c r="AB108" t="inlineStr">
        <is>
          <t>-</t>
        </is>
      </c>
      <c r="AC108" s="6" t="n">
        <v>1542857</v>
      </c>
      <c r="AD108" s="6">
        <f>IF(IF(J108&lt;&gt;"",IF(L108&lt;&gt;"",L108,F108),F108)="생산량비례법",(D108-E108)*N108/M108,IF(IF(J108&lt;&gt;"",IF(L108&lt;&gt;"",L108,F108),F108)="정률법",IF(X108-X108*H108*V108/12&lt;=(D108+IF(R108&lt;&gt;"",R108,0))*0.05,Y108,X108*H108*V108/12),IF(IF(J108&lt;&gt;"",IF(L108&lt;&gt;"",L108,F108),F108)="이중체감법",IF(X108-X108*H108*V108/12&lt;=E108,Y108,X108*H108*V108/12),Y108*H108*V108/12)))</f>
        <v/>
      </c>
      <c r="AE108" s="6">
        <f>AD108-AC108</f>
        <v/>
      </c>
      <c r="AF108" s="6" t="n">
        <v>5817857</v>
      </c>
      <c r="AG108" s="6">
        <f>IF(F108="생산량비례법",IF(O108&lt;&gt;"",(D108-E108)*O108/M108,""),(D108+IF(AND(R108&lt;&gt;"",Q108&lt;='기준정보'!$E$4),R108,0))-Z108)</f>
        <v/>
      </c>
      <c r="AH108" s="6">
        <f>AG108-AF108</f>
        <v/>
      </c>
      <c r="AI108" s="6">
        <f>IF(AF108="","",AF108+AC108)</f>
        <v/>
      </c>
      <c r="AJ108" s="6">
        <f>IF(AG108="","",AG108+AD108)</f>
        <v/>
      </c>
      <c r="AK108" s="6">
        <f>AJ108-AI108</f>
        <v/>
      </c>
      <c r="AL108" t="inlineStr">
        <is>
          <t>경미한 차이</t>
        </is>
      </c>
      <c r="AM108" t="inlineStr">
        <is>
          <t>-</t>
        </is>
      </c>
      <c r="AN108" t="inlineStr">
        <is>
          <t>-</t>
        </is>
      </c>
    </row>
    <row r="109">
      <c r="A109" t="inlineStr">
        <is>
          <t>연수합계법기본자산_유형03</t>
        </is>
      </c>
      <c r="B109" t="inlineStr">
        <is>
          <t>유형자산</t>
        </is>
      </c>
      <c r="C109" s="4" t="n">
        <v>45108</v>
      </c>
      <c r="D109" s="6" t="n">
        <v>11700000</v>
      </c>
      <c r="E109" s="6" t="n">
        <v>500000</v>
      </c>
      <c r="F109" t="inlineStr">
        <is>
          <t>연수합계법</t>
        </is>
      </c>
      <c r="G109" t="n">
        <v>10</v>
      </c>
      <c r="H109" s="12">
        <f>IF(IF(J109&lt;&gt;"",IF(L109&lt;&gt;"",L109,F109),F109)="정률법",VLOOKUP(IF(J109&lt;&gt;"",K109,G109),'상각률표(별표4)'!$A$2:$C$60,3,FALSE),IF(IF(J109&lt;&gt;"",IF(L109&lt;&gt;"",L109,F109),F109)="생산량비례법","-",IF(IF(J109&lt;&gt;"",IF(L109&lt;&gt;"",L109,F109),F109)="이중체감법",2/IF(J109&lt;&gt;"",K109,G109),IF(IF(J109&lt;&gt;"",IF(L109&lt;&gt;"",L109,F109),F109)="연수합계법",(IF(J109&lt;&gt;"",K109,G109)-('기준정보'!$E$3-YEAR(IF(J109&lt;&gt;"",J109,C109))+1)+1)/(IF(J109&lt;&gt;"",K109,G109)*(IF(J109&lt;&gt;"",K109,G109)+1)/2),12/W109))))</f>
        <v/>
      </c>
      <c r="I109" s="4" t="inlineStr"/>
      <c r="J109" s="4" t="inlineStr"/>
      <c r="K109" t="inlineStr"/>
      <c r="L109" t="inlineStr"/>
      <c r="M109" s="6" t="inlineStr"/>
      <c r="N109" s="6" t="inlineStr"/>
      <c r="O109" s="6" t="inlineStr"/>
      <c r="P109" s="6">
        <f>IF(OR(O109="",N109=""),"",O109+N109)</f>
        <v/>
      </c>
      <c r="Q109" s="4" t="inlineStr"/>
      <c r="R109" s="6" t="inlineStr"/>
      <c r="S109" s="4" t="inlineStr"/>
      <c r="T109" s="4" t="inlineStr"/>
      <c r="U109">
        <f>(YEAR('기준정보'!$E$2)-YEAR(C109))*12+MONTH('기준정보'!$E$2)-MONTH(C109)+1</f>
        <v/>
      </c>
      <c r="V109">
        <f>MAX(0,MAX(0,MIN((IF(J109&lt;&gt;"",YEAR(J109)*12+MONTH(J109),YEAR(C109)*12+MONTH(C109))+W109-1),('기준정보'!$E$3*12+12),IF(I109&lt;&gt;"",YEAR(I109)*12+MONTH(I109),9999999))-MAX(IF(J109&lt;&gt;"",YEAR(J109)*12+MONTH(J109),YEAR(C109)*12+MONTH(C109)),('기준정보'!$E$3*12+1))+1)-IF(S109&lt;&gt;"",MAX(0,MIN(MIN((IF(J109&lt;&gt;"",YEAR(J109)*12+MONTH(J109),YEAR(C109)*12+MONTH(C109))+W109-1),('기준정보'!$E$3*12+12),IF(I109&lt;&gt;"",YEAR(I109)*12+MONTH(I109),9999999)),YEAR(T109)*12+MONTH(T109))-MAX(MAX(IF(J109&lt;&gt;"",YEAR(J109)*12+MONTH(J109),YEAR(C109)*12+MONTH(C109)),('기준정보'!$E$3*12+1)),YEAR(S109)*12+MONTH(S109))+1),0))</f>
        <v/>
      </c>
      <c r="W109">
        <f>IF(J109&lt;&gt;"",K109,G109)*12</f>
        <v/>
      </c>
      <c r="X109" s="6" t="n">
        <v>11700000</v>
      </c>
      <c r="Y109" s="6">
        <f>X109-E109</f>
        <v/>
      </c>
      <c r="Z109" s="6" t="n">
        <v>8849090.909090908</v>
      </c>
      <c r="AA109" t="inlineStr">
        <is>
          <t>-</t>
        </is>
      </c>
      <c r="AB109" t="inlineStr">
        <is>
          <t>-</t>
        </is>
      </c>
      <c r="AC109" s="6" t="n">
        <v>1629091</v>
      </c>
      <c r="AD109" s="6">
        <f>IF(IF(J109&lt;&gt;"",IF(L109&lt;&gt;"",L109,F109),F109)="생산량비례법",(D109-E109)*N109/M109,IF(IF(J109&lt;&gt;"",IF(L109&lt;&gt;"",L109,F109),F109)="정률법",IF(X109-X109*H109*V109/12&lt;=(D109+IF(R109&lt;&gt;"",R109,0))*0.05,Y109,X109*H109*V109/12),IF(IF(J109&lt;&gt;"",IF(L109&lt;&gt;"",L109,F109),F109)="이중체감법",IF(X109-X109*H109*V109/12&lt;=E109,Y109,X109*H109*V109/12),Y109*H109*V109/12)))</f>
        <v/>
      </c>
      <c r="AE109" s="6">
        <f>AD109-AC109</f>
        <v/>
      </c>
      <c r="AF109" s="6" t="n">
        <v>2850909</v>
      </c>
      <c r="AG109" s="6">
        <f>IF(F109="생산량비례법",IF(O109&lt;&gt;"",(D109-E109)*O109/M109,""),(D109+IF(AND(R109&lt;&gt;"",Q109&lt;='기준정보'!$E$4),R109,0))-Z109)</f>
        <v/>
      </c>
      <c r="AH109" s="6">
        <f>AG109-AF109</f>
        <v/>
      </c>
      <c r="AI109" s="6">
        <f>IF(AF109="","",AF109+AC109)</f>
        <v/>
      </c>
      <c r="AJ109" s="6">
        <f>IF(AG109="","",AG109+AD109)</f>
        <v/>
      </c>
      <c r="AK109" s="6">
        <f>AJ109-AI109</f>
        <v/>
      </c>
      <c r="AL109" t="inlineStr">
        <is>
          <t>경미한 차이</t>
        </is>
      </c>
      <c r="AM109" t="inlineStr">
        <is>
          <t>-</t>
        </is>
      </c>
      <c r="AN109" t="inlineStr">
        <is>
          <t>-</t>
        </is>
      </c>
    </row>
    <row r="110">
      <c r="A110" t="inlineStr">
        <is>
          <t>연수합계법기본자산_무형01</t>
        </is>
      </c>
      <c r="B110" t="inlineStr">
        <is>
          <t>무형자산</t>
        </is>
      </c>
      <c r="C110" s="4" t="n">
        <v>43831</v>
      </c>
      <c r="D110" s="6" t="n">
        <v>8500000</v>
      </c>
      <c r="E110" s="6" t="n">
        <v>0</v>
      </c>
      <c r="F110" t="inlineStr">
        <is>
          <t>연수합계법</t>
        </is>
      </c>
      <c r="G110" t="n">
        <v>4</v>
      </c>
      <c r="H110" s="12">
        <f>IF(IF(J110&lt;&gt;"",IF(L110&lt;&gt;"",L110,F110),F110)="정률법",VLOOKUP(IF(J110&lt;&gt;"",K110,G110),'상각률표(별표4)'!$A$2:$C$60,3,FALSE),IF(IF(J110&lt;&gt;"",IF(L110&lt;&gt;"",L110,F110),F110)="생산량비례법","-",IF(IF(J110&lt;&gt;"",IF(L110&lt;&gt;"",L110,F110),F110)="이중체감법",2/IF(J110&lt;&gt;"",K110,G110),IF(IF(J110&lt;&gt;"",IF(L110&lt;&gt;"",L110,F110),F110)="연수합계법",(IF(J110&lt;&gt;"",K110,G110)-('기준정보'!$E$3-YEAR(IF(J110&lt;&gt;"",J110,C110))+1)+1)/(IF(J110&lt;&gt;"",K110,G110)*(IF(J110&lt;&gt;"",K110,G110)+1)/2),12/W110))))</f>
        <v/>
      </c>
      <c r="I110" s="4" t="inlineStr"/>
      <c r="J110" s="4" t="inlineStr"/>
      <c r="K110" t="inlineStr"/>
      <c r="L110" t="inlineStr"/>
      <c r="M110" s="6" t="inlineStr"/>
      <c r="N110" s="6" t="inlineStr"/>
      <c r="O110" s="6" t="inlineStr"/>
      <c r="P110" s="6">
        <f>IF(OR(O110="",N110=""),"",O110+N110)</f>
        <v/>
      </c>
      <c r="Q110" s="4" t="inlineStr"/>
      <c r="R110" s="6" t="inlineStr"/>
      <c r="S110" s="4" t="inlineStr"/>
      <c r="T110" s="4" t="inlineStr"/>
      <c r="U110">
        <f>(YEAR('기준정보'!$E$2)-YEAR(C110))*12+MONTH('기준정보'!$E$2)-MONTH(C110)+1</f>
        <v/>
      </c>
      <c r="V110">
        <f>MAX(0,MAX(0,MIN((IF(J110&lt;&gt;"",YEAR(J110)*12+MONTH(J110),YEAR(C110)*12+MONTH(C110))+W110-1),('기준정보'!$E$3*12+12),IF(I110&lt;&gt;"",YEAR(I110)*12+MONTH(I110),9999999))-MAX(IF(J110&lt;&gt;"",YEAR(J110)*12+MONTH(J110),YEAR(C110)*12+MONTH(C110)),('기준정보'!$E$3*12+1))+1)-IF(S110&lt;&gt;"",MAX(0,MIN(MIN((IF(J110&lt;&gt;"",YEAR(J110)*12+MONTH(J110),YEAR(C110)*12+MONTH(C110))+W110-1),('기준정보'!$E$3*12+12),IF(I110&lt;&gt;"",YEAR(I110)*12+MONTH(I110),9999999)),YEAR(T110)*12+MONTH(T110))-MAX(MAX(IF(J110&lt;&gt;"",YEAR(J110)*12+MONTH(J110),YEAR(C110)*12+MONTH(C110)),('기준정보'!$E$3*12+1)),YEAR(S110)*12+MONTH(S110))+1),0))</f>
        <v/>
      </c>
      <c r="W110">
        <f>IF(J110&lt;&gt;"",K110,G110)*12</f>
        <v/>
      </c>
      <c r="X110" s="6" t="n">
        <v>8500000</v>
      </c>
      <c r="Y110" s="6">
        <f>X110-E110</f>
        <v/>
      </c>
      <c r="Z110" s="6" t="n">
        <v>0</v>
      </c>
      <c r="AA110" t="inlineStr">
        <is>
          <t>종료</t>
        </is>
      </c>
      <c r="AB110" t="inlineStr">
        <is>
          <t>내용연수종료</t>
        </is>
      </c>
      <c r="AC110" s="6" t="n">
        <v>0</v>
      </c>
      <c r="AD110" s="6">
        <f>IF(IF(J110&lt;&gt;"",IF(L110&lt;&gt;"",L110,F110),F110)="생산량비례법",(D110-E110)*N110/M110,IF(IF(J110&lt;&gt;"",IF(L110&lt;&gt;"",L110,F110),F110)="정률법",IF(X110-X110*H110*V110/12&lt;=(D110+IF(R110&lt;&gt;"",R110,0))*0.05,Y110,X110*H110*V110/12),IF(IF(J110&lt;&gt;"",IF(L110&lt;&gt;"",L110,F110),F110)="이중체감법",IF(X110-X110*H110*V110/12&lt;=E110,Y110,X110*H110*V110/12),Y110*H110*V110/12)))</f>
        <v/>
      </c>
      <c r="AE110" s="6">
        <f>AD110-AC110</f>
        <v/>
      </c>
      <c r="AF110" s="6" t="n">
        <v>8500000</v>
      </c>
      <c r="AG110" s="6">
        <f>IF(F110="생산량비례법",IF(O110&lt;&gt;"",(D110-E110)*O110/M110,""),(D110+IF(AND(R110&lt;&gt;"",Q110&lt;='기준정보'!$E$4),R110,0))-Z110)</f>
        <v/>
      </c>
      <c r="AH110" s="6">
        <f>AG110-AF110</f>
        <v/>
      </c>
      <c r="AI110" s="6">
        <f>IF(AF110="","",AF110+AC110)</f>
        <v/>
      </c>
      <c r="AJ110" s="6">
        <f>IF(AG110="","",AG110+AD110)</f>
        <v/>
      </c>
      <c r="AK110" s="6">
        <f>AJ110-AI110</f>
        <v/>
      </c>
      <c r="AL110" t="inlineStr">
        <is>
          <t>경미한 차이</t>
        </is>
      </c>
      <c r="AM110" t="inlineStr">
        <is>
          <t>-</t>
        </is>
      </c>
      <c r="AN110" t="inlineStr">
        <is>
          <t>-</t>
        </is>
      </c>
    </row>
    <row r="111">
      <c r="A111" t="inlineStr">
        <is>
          <t>연수합계법기본자산_무형02</t>
        </is>
      </c>
      <c r="B111" t="inlineStr">
        <is>
          <t>무형자산</t>
        </is>
      </c>
      <c r="C111" s="4" t="n">
        <v>44742</v>
      </c>
      <c r="D111" s="6" t="n">
        <v>8800000</v>
      </c>
      <c r="E111" s="6" t="n">
        <v>0</v>
      </c>
      <c r="F111" t="inlineStr">
        <is>
          <t>연수합계법</t>
        </is>
      </c>
      <c r="G111" t="n">
        <v>9</v>
      </c>
      <c r="H111" s="12">
        <f>IF(IF(J111&lt;&gt;"",IF(L111&lt;&gt;"",L111,F111),F111)="정률법",VLOOKUP(IF(J111&lt;&gt;"",K111,G111),'상각률표(별표4)'!$A$2:$C$60,3,FALSE),IF(IF(J111&lt;&gt;"",IF(L111&lt;&gt;"",L111,F111),F111)="생산량비례법","-",IF(IF(J111&lt;&gt;"",IF(L111&lt;&gt;"",L111,F111),F111)="이중체감법",2/IF(J111&lt;&gt;"",K111,G111),IF(IF(J111&lt;&gt;"",IF(L111&lt;&gt;"",L111,F111),F111)="연수합계법",(IF(J111&lt;&gt;"",K111,G111)-('기준정보'!$E$3-YEAR(IF(J111&lt;&gt;"",J111,C111))+1)+1)/(IF(J111&lt;&gt;"",K111,G111)*(IF(J111&lt;&gt;"",K111,G111)+1)/2),12/W111))))</f>
        <v/>
      </c>
      <c r="I111" s="4" t="inlineStr"/>
      <c r="J111" s="4" t="inlineStr"/>
      <c r="K111" t="inlineStr"/>
      <c r="L111" t="inlineStr"/>
      <c r="M111" s="6" t="inlineStr"/>
      <c r="N111" s="6" t="inlineStr"/>
      <c r="O111" s="6" t="inlineStr"/>
      <c r="P111" s="6">
        <f>IF(OR(O111="",N111=""),"",O111+N111)</f>
        <v/>
      </c>
      <c r="Q111" s="4" t="inlineStr"/>
      <c r="R111" s="6" t="inlineStr"/>
      <c r="S111" s="4" t="inlineStr"/>
      <c r="T111" s="4" t="inlineStr"/>
      <c r="U111">
        <f>(YEAR('기준정보'!$E$2)-YEAR(C111))*12+MONTH('기준정보'!$E$2)-MONTH(C111)+1</f>
        <v/>
      </c>
      <c r="V111">
        <f>MAX(0,MAX(0,MIN((IF(J111&lt;&gt;"",YEAR(J111)*12+MONTH(J111),YEAR(C111)*12+MONTH(C111))+W111-1),('기준정보'!$E$3*12+12),IF(I111&lt;&gt;"",YEAR(I111)*12+MONTH(I111),9999999))-MAX(IF(J111&lt;&gt;"",YEAR(J111)*12+MONTH(J111),YEAR(C111)*12+MONTH(C111)),('기준정보'!$E$3*12+1))+1)-IF(S111&lt;&gt;"",MAX(0,MIN(MIN((IF(J111&lt;&gt;"",YEAR(J111)*12+MONTH(J111),YEAR(C111)*12+MONTH(C111))+W111-1),('기준정보'!$E$3*12+12),IF(I111&lt;&gt;"",YEAR(I111)*12+MONTH(I111),9999999)),YEAR(T111)*12+MONTH(T111))-MAX(MAX(IF(J111&lt;&gt;"",YEAR(J111)*12+MONTH(J111),YEAR(C111)*12+MONTH(C111)),('기준정보'!$E$3*12+1)),YEAR(S111)*12+MONTH(S111))+1),0))</f>
        <v/>
      </c>
      <c r="W111">
        <f>IF(J111&lt;&gt;"",K111,G111)*12</f>
        <v/>
      </c>
      <c r="X111" s="6" t="n">
        <v>8800000</v>
      </c>
      <c r="Y111" s="6">
        <f>X111-E111</f>
        <v/>
      </c>
      <c r="Z111" s="6" t="n">
        <v>4839999.999999999</v>
      </c>
      <c r="AA111" t="inlineStr">
        <is>
          <t>-</t>
        </is>
      </c>
      <c r="AB111" t="inlineStr">
        <is>
          <t>-</t>
        </is>
      </c>
      <c r="AC111" s="6" t="n">
        <v>1173333</v>
      </c>
      <c r="AD111" s="6">
        <f>IF(IF(J111&lt;&gt;"",IF(L111&lt;&gt;"",L111,F111),F111)="생산량비례법",(D111-E111)*N111/M111,IF(IF(J111&lt;&gt;"",IF(L111&lt;&gt;"",L111,F111),F111)="정률법",IF(X111-X111*H111*V111/12&lt;=(D111+IF(R111&lt;&gt;"",R111,0))*0.05,Y111,X111*H111*V111/12),IF(IF(J111&lt;&gt;"",IF(L111&lt;&gt;"",L111,F111),F111)="이중체감법",IF(X111-X111*H111*V111/12&lt;=E111,Y111,X111*H111*V111/12),Y111*H111*V111/12)))</f>
        <v/>
      </c>
      <c r="AE111" s="6">
        <f>AD111-AC111</f>
        <v/>
      </c>
      <c r="AF111" s="6" t="n">
        <v>3960000</v>
      </c>
      <c r="AG111" s="6">
        <f>IF(F111="생산량비례법",IF(O111&lt;&gt;"",(D111-E111)*O111/M111,""),(D111+IF(AND(R111&lt;&gt;"",Q111&lt;='기준정보'!$E$4),R111,0))-Z111)</f>
        <v/>
      </c>
      <c r="AH111" s="6">
        <f>AG111-AF111</f>
        <v/>
      </c>
      <c r="AI111" s="6">
        <f>IF(AF111="","",AF111+AC111)</f>
        <v/>
      </c>
      <c r="AJ111" s="6">
        <f>IF(AG111="","",AG111+AD111)</f>
        <v/>
      </c>
      <c r="AK111" s="6">
        <f>AJ111-AI111</f>
        <v/>
      </c>
      <c r="AL111" t="inlineStr">
        <is>
          <t>경미한 차이</t>
        </is>
      </c>
      <c r="AM111" t="inlineStr">
        <is>
          <t>-</t>
        </is>
      </c>
      <c r="AN111" t="inlineStr">
        <is>
          <t>-</t>
        </is>
      </c>
    </row>
    <row r="112">
      <c r="A112" t="inlineStr">
        <is>
          <t>처분_이중체감_당기중_유형01</t>
        </is>
      </c>
      <c r="B112" t="inlineStr">
        <is>
          <t>유형자산</t>
        </is>
      </c>
      <c r="C112" s="4" t="n">
        <v>44197</v>
      </c>
      <c r="D112" s="6" t="n">
        <v>12000000</v>
      </c>
      <c r="E112" s="6" t="n">
        <v>0</v>
      </c>
      <c r="F112" t="inlineStr">
        <is>
          <t>이중체감법</t>
        </is>
      </c>
      <c r="G112" t="n">
        <v>6</v>
      </c>
      <c r="H112" s="12">
        <f>IF(IF(J112&lt;&gt;"",IF(L112&lt;&gt;"",L112,F112),F112)="정률법",VLOOKUP(IF(J112&lt;&gt;"",K112,G112),'상각률표(별표4)'!$A$2:$C$60,3,FALSE),IF(IF(J112&lt;&gt;"",IF(L112&lt;&gt;"",L112,F112),F112)="생산량비례법","-",IF(IF(J112&lt;&gt;"",IF(L112&lt;&gt;"",L112,F112),F112)="이중체감법",2/IF(J112&lt;&gt;"",K112,G112),IF(IF(J112&lt;&gt;"",IF(L112&lt;&gt;"",L112,F112),F112)="연수합계법",(IF(J112&lt;&gt;"",K112,G112)-('기준정보'!$E$3-YEAR(IF(J112&lt;&gt;"",J112,C112))+1)+1)/(IF(J112&lt;&gt;"",K112,G112)*(IF(J112&lt;&gt;"",K112,G112)+1)/2),12/W112))))</f>
        <v/>
      </c>
      <c r="I112" s="4" t="n">
        <v>45869</v>
      </c>
      <c r="J112" s="4" t="inlineStr"/>
      <c r="K112" t="inlineStr"/>
      <c r="L112" t="inlineStr"/>
      <c r="M112" s="6" t="inlineStr"/>
      <c r="N112" s="6" t="inlineStr"/>
      <c r="O112" s="6" t="inlineStr"/>
      <c r="P112" s="6">
        <f>IF(OR(O112="",N112=""),"",O112+N112)</f>
        <v/>
      </c>
      <c r="Q112" s="4" t="inlineStr"/>
      <c r="R112" s="6" t="inlineStr"/>
      <c r="S112" s="4" t="inlineStr"/>
      <c r="T112" s="4" t="inlineStr"/>
      <c r="U112">
        <f>(YEAR('기준정보'!$E$2)-YEAR(C112))*12+MONTH('기준정보'!$E$2)-MONTH(C112)+1</f>
        <v/>
      </c>
      <c r="V112">
        <f>MAX(0,MAX(0,MIN((IF(J112&lt;&gt;"",YEAR(J112)*12+MONTH(J112),YEAR(C112)*12+MONTH(C112))+W112-1),('기준정보'!$E$3*12+12),IF(I112&lt;&gt;"",YEAR(I112)*12+MONTH(I112),9999999))-MAX(IF(J112&lt;&gt;"",YEAR(J112)*12+MONTH(J112),YEAR(C112)*12+MONTH(C112)),('기준정보'!$E$3*12+1))+1)-IF(S112&lt;&gt;"",MAX(0,MIN(MIN((IF(J112&lt;&gt;"",YEAR(J112)*12+MONTH(J112),YEAR(C112)*12+MONTH(C112))+W112-1),('기준정보'!$E$3*12+12),IF(I112&lt;&gt;"",YEAR(I112)*12+MONTH(I112),9999999)),YEAR(T112)*12+MONTH(T112))-MAX(MAX(IF(J112&lt;&gt;"",YEAR(J112)*12+MONTH(J112),YEAR(C112)*12+MONTH(C112)),('기준정보'!$E$3*12+1)),YEAR(S112)*12+MONTH(S112))+1),0))</f>
        <v/>
      </c>
      <c r="W112">
        <f>IF(J112&lt;&gt;"",K112,G112)*12</f>
        <v/>
      </c>
      <c r="X112" s="6" t="n">
        <v>2370370.370370371</v>
      </c>
      <c r="Y112" s="6">
        <f>X112-E112</f>
        <v/>
      </c>
      <c r="Z112" s="6" t="n">
        <v>2370370.370370371</v>
      </c>
      <c r="AA112" t="inlineStr">
        <is>
          <t>-</t>
        </is>
      </c>
      <c r="AB112" t="inlineStr">
        <is>
          <t>당기중처분(2025-07-31)</t>
        </is>
      </c>
      <c r="AC112" s="6" t="n">
        <v>460905</v>
      </c>
      <c r="AD112" s="6">
        <f>IF(IF(J112&lt;&gt;"",IF(L112&lt;&gt;"",L112,F112),F112)="생산량비례법",(D112-E112)*N112/M112,IF(IF(J112&lt;&gt;"",IF(L112&lt;&gt;"",L112,F112),F112)="정률법",IF(X112-X112*H112*V112/12&lt;=(D112+IF(R112&lt;&gt;"",R112,0))*0.05,Y112,X112*H112*V112/12),IF(IF(J112&lt;&gt;"",IF(L112&lt;&gt;"",L112,F112),F112)="이중체감법",IF(X112-X112*H112*V112/12&lt;=E112,Y112,X112*H112*V112/12),Y112*H112*V112/12)))</f>
        <v/>
      </c>
      <c r="AE112" s="6">
        <f>AD112-AC112</f>
        <v/>
      </c>
      <c r="AF112" s="6" t="n">
        <v>9629630</v>
      </c>
      <c r="AG112" s="6">
        <f>IF(F112="생산량비례법",IF(O112&lt;&gt;"",(D112-E112)*O112/M112,""),(D112+IF(AND(R112&lt;&gt;"",Q112&lt;='기준정보'!$E$4),R112,0))-Z112)</f>
        <v/>
      </c>
      <c r="AH112" s="6">
        <f>AG112-AF112</f>
        <v/>
      </c>
      <c r="AI112" s="6">
        <f>IF(AF112="","",AF112+AC112)</f>
        <v/>
      </c>
      <c r="AJ112" s="6">
        <f>IF(AG112="","",AG112+AD112)</f>
        <v/>
      </c>
      <c r="AK112" s="6">
        <f>AJ112-AI112</f>
        <v/>
      </c>
      <c r="AL112" t="inlineStr">
        <is>
          <t>경미한 차이</t>
        </is>
      </c>
      <c r="AM112" t="inlineStr">
        <is>
          <t>-</t>
        </is>
      </c>
      <c r="AN112" t="inlineStr">
        <is>
          <t>-</t>
        </is>
      </c>
    </row>
    <row r="113">
      <c r="A113" s="13" t="inlineStr">
        <is>
          <t>처분_연수합계_당기중_유형01</t>
        </is>
      </c>
      <c r="B113" s="13" t="inlineStr">
        <is>
          <t>유형자산</t>
        </is>
      </c>
      <c r="C113" s="14" t="n">
        <v>44197</v>
      </c>
      <c r="D113" s="15" t="n">
        <v>11000000</v>
      </c>
      <c r="E113" s="15" t="n">
        <v>0</v>
      </c>
      <c r="F113" s="13" t="inlineStr">
        <is>
          <t>연수합계법</t>
        </is>
      </c>
      <c r="G113" s="13" t="n">
        <v>6</v>
      </c>
      <c r="H113" s="16">
        <f>IF(IF(J113&lt;&gt;"",IF(L113&lt;&gt;"",L113,F113),F113)="정률법",VLOOKUP(IF(J113&lt;&gt;"",K113,G113),'상각률표(별표4)'!$A$2:$C$60,3,FALSE),IF(IF(J113&lt;&gt;"",IF(L113&lt;&gt;"",L113,F113),F113)="생산량비례법","-",IF(IF(J113&lt;&gt;"",IF(L113&lt;&gt;"",L113,F113),F113)="이중체감법",2/IF(J113&lt;&gt;"",K113,G113),IF(IF(J113&lt;&gt;"",IF(L113&lt;&gt;"",L113,F113),F113)="연수합계법",(IF(J113&lt;&gt;"",K113,G113)-('기준정보'!$E$3-YEAR(IF(J113&lt;&gt;"",J113,C113))+1)+1)/(IF(J113&lt;&gt;"",K113,G113)*(IF(J113&lt;&gt;"",K113,G113)+1)/2),12/W113))))</f>
        <v/>
      </c>
      <c r="I113" s="14" t="n">
        <v>45777</v>
      </c>
      <c r="J113" s="14" t="inlineStr"/>
      <c r="K113" s="13" t="inlineStr"/>
      <c r="L113" s="13" t="inlineStr"/>
      <c r="M113" s="15" t="inlineStr"/>
      <c r="N113" s="15" t="inlineStr"/>
      <c r="O113" s="15" t="inlineStr"/>
      <c r="P113" s="15">
        <f>IF(OR(O113="",N113=""),"",O113+N113)</f>
        <v/>
      </c>
      <c r="Q113" s="14" t="inlineStr"/>
      <c r="R113" s="15" t="inlineStr"/>
      <c r="S113" s="14" t="inlineStr"/>
      <c r="T113" s="14" t="inlineStr"/>
      <c r="U113" s="13">
        <f>(YEAR('기준정보'!$E$2)-YEAR(C113))*12+MONTH('기준정보'!$E$2)-MONTH(C113)+1</f>
        <v/>
      </c>
      <c r="V113" s="13">
        <f>MAX(0,MAX(0,MIN((IF(J113&lt;&gt;"",YEAR(J113)*12+MONTH(J113),YEAR(C113)*12+MONTH(C113))+W113-1),('기준정보'!$E$3*12+12),IF(I113&lt;&gt;"",YEAR(I113)*12+MONTH(I113),9999999))-MAX(IF(J113&lt;&gt;"",YEAR(J113)*12+MONTH(J113),YEAR(C113)*12+MONTH(C113)),('기준정보'!$E$3*12+1))+1)-IF(S113&lt;&gt;"",MAX(0,MIN(MIN((IF(J113&lt;&gt;"",YEAR(J113)*12+MONTH(J113),YEAR(C113)*12+MONTH(C113))+W113-1),('기준정보'!$E$3*12+12),IF(I113&lt;&gt;"",YEAR(I113)*12+MONTH(I113),9999999)),YEAR(T113)*12+MONTH(T113))-MAX(MAX(IF(J113&lt;&gt;"",YEAR(J113)*12+MONTH(J113),YEAR(C113)*12+MONTH(C113)),('기준정보'!$E$3*12+1)),YEAR(S113)*12+MONTH(S113))+1),0))</f>
        <v/>
      </c>
      <c r="W113" s="13">
        <f>IF(J113&lt;&gt;"",K113,G113)*12</f>
        <v/>
      </c>
      <c r="X113" s="15" t="n">
        <v>11000000</v>
      </c>
      <c r="Y113" s="15">
        <f>X113-E113</f>
        <v/>
      </c>
      <c r="Z113" s="15" t="n">
        <v>1571428.57142857</v>
      </c>
      <c r="AA113" s="13" t="inlineStr">
        <is>
          <t>-</t>
        </is>
      </c>
      <c r="AB113" s="13" t="inlineStr">
        <is>
          <t>당기중처분(2025-04-30)</t>
        </is>
      </c>
      <c r="AC113" s="15" t="n">
        <v>529206</v>
      </c>
      <c r="AD113" s="15">
        <f>IF(IF(J113&lt;&gt;"",IF(L113&lt;&gt;"",L113,F113),F113)="생산량비례법",(D113-E113)*N113/M113,IF(IF(J113&lt;&gt;"",IF(L113&lt;&gt;"",L113,F113),F113)="정률법",IF(X113-X113*H113*V113/12&lt;=(D113+IF(R113&lt;&gt;"",R113,0))*0.05,Y113,X113*H113*V113/12),IF(IF(J113&lt;&gt;"",IF(L113&lt;&gt;"",L113,F113),F113)="이중체감법",IF(X113-X113*H113*V113/12&lt;=E113,Y113,X113*H113*V113/12),Y113*H113*V113/12)))</f>
        <v/>
      </c>
      <c r="AE113" s="15">
        <f>AD113-AC113</f>
        <v/>
      </c>
      <c r="AF113" s="15" t="n">
        <v>9428572</v>
      </c>
      <c r="AG113" s="15">
        <f>IF(F113="생산량비례법",IF(O113&lt;&gt;"",(D113-E113)*O113/M113,""),(D113+IF(AND(R113&lt;&gt;"",Q113&lt;='기준정보'!$E$4),R113,0))-Z113)</f>
        <v/>
      </c>
      <c r="AH113" s="15">
        <f>AG113-AF113</f>
        <v/>
      </c>
      <c r="AI113" s="15">
        <f>IF(AF113="","",AF113+AC113)</f>
        <v/>
      </c>
      <c r="AJ113" s="15">
        <f>IF(AG113="","",AG113+AD113)</f>
        <v/>
      </c>
      <c r="AK113" s="15">
        <f>AJ113-AI113</f>
        <v/>
      </c>
      <c r="AL113" s="13" t="inlineStr">
        <is>
          <t>경미한 차이</t>
        </is>
      </c>
      <c r="AM113" s="13" t="inlineStr">
        <is>
          <t>처분일 반영 오류 추정(처분일까지의 월할상각 미반영 가능성)</t>
        </is>
      </c>
      <c r="AN113" s="13" t="inlineStr">
        <is>
          <t>규칙</t>
        </is>
      </c>
    </row>
    <row r="114">
      <c r="A114" t="inlineStr">
        <is>
          <t>재추정_이중체감_유형01</t>
        </is>
      </c>
      <c r="B114" t="inlineStr">
        <is>
          <t>유형자산</t>
        </is>
      </c>
      <c r="C114" s="4" t="n">
        <v>44197</v>
      </c>
      <c r="D114" s="6" t="n">
        <v>13000000</v>
      </c>
      <c r="E114" s="6" t="n">
        <v>0</v>
      </c>
      <c r="F114" t="inlineStr">
        <is>
          <t>이중체감법</t>
        </is>
      </c>
      <c r="G114" t="n">
        <v>6</v>
      </c>
      <c r="H114" s="12">
        <f>IF(IF(J114&lt;&gt;"",IF(L114&lt;&gt;"",L114,F114),F114)="정률법",VLOOKUP(IF(J114&lt;&gt;"",K114,G114),'상각률표(별표4)'!$A$2:$C$60,3,FALSE),IF(IF(J114&lt;&gt;"",IF(L114&lt;&gt;"",L114,F114),F114)="생산량비례법","-",IF(IF(J114&lt;&gt;"",IF(L114&lt;&gt;"",L114,F114),F114)="이중체감법",2/IF(J114&lt;&gt;"",K114,G114),IF(IF(J114&lt;&gt;"",IF(L114&lt;&gt;"",L114,F114),F114)="연수합계법",(IF(J114&lt;&gt;"",K114,G114)-('기준정보'!$E$3-YEAR(IF(J114&lt;&gt;"",J114,C114))+1)+1)/(IF(J114&lt;&gt;"",K114,G114)*(IF(J114&lt;&gt;"",K114,G114)+1)/2),12/W114))))</f>
        <v/>
      </c>
      <c r="I114" s="4" t="inlineStr"/>
      <c r="J114" s="4" t="n">
        <v>45292</v>
      </c>
      <c r="K114" t="n">
        <v>8</v>
      </c>
      <c r="L114" t="inlineStr"/>
      <c r="M114" s="6" t="inlineStr"/>
      <c r="N114" s="6" t="inlineStr"/>
      <c r="O114" s="6" t="inlineStr"/>
      <c r="P114" s="6">
        <f>IF(OR(O114="",N114=""),"",O114+N114)</f>
        <v/>
      </c>
      <c r="Q114" s="4" t="inlineStr"/>
      <c r="R114" s="6" t="inlineStr"/>
      <c r="S114" s="4" t="inlineStr"/>
      <c r="T114" s="4" t="inlineStr"/>
      <c r="U114">
        <f>(YEAR('기준정보'!$E$2)-YEAR(C114))*12+MONTH('기준정보'!$E$2)-MONTH(C114)+1</f>
        <v/>
      </c>
      <c r="V114">
        <f>MAX(0,MAX(0,MIN((IF(J114&lt;&gt;"",YEAR(J114)*12+MONTH(J114),YEAR(C114)*12+MONTH(C114))+W114-1),('기준정보'!$E$3*12+12),IF(I114&lt;&gt;"",YEAR(I114)*12+MONTH(I114),9999999))-MAX(IF(J114&lt;&gt;"",YEAR(J114)*12+MONTH(J114),YEAR(C114)*12+MONTH(C114)),('기준정보'!$E$3*12+1))+1)-IF(S114&lt;&gt;"",MAX(0,MIN(MIN((IF(J114&lt;&gt;"",YEAR(J114)*12+MONTH(J114),YEAR(C114)*12+MONTH(C114))+W114-1),('기준정보'!$E$3*12+12),IF(I114&lt;&gt;"",YEAR(I114)*12+MONTH(I114),9999999)),YEAR(T114)*12+MONTH(T114))-MAX(MAX(IF(J114&lt;&gt;"",YEAR(J114)*12+MONTH(J114),YEAR(C114)*12+MONTH(C114)),('기준정보'!$E$3*12+1)),YEAR(S114)*12+MONTH(S114))+1),0))</f>
        <v/>
      </c>
      <c r="W114">
        <f>IF(J114&lt;&gt;"",K114,G114)*12</f>
        <v/>
      </c>
      <c r="X114" s="6" t="n">
        <v>2888888.888888889</v>
      </c>
      <c r="Y114" s="6">
        <f>X114-E114</f>
        <v/>
      </c>
      <c r="Z114" s="6" t="n">
        <v>2888888.888888889</v>
      </c>
      <c r="AA114" t="inlineStr">
        <is>
          <t>-</t>
        </is>
      </c>
      <c r="AB114" t="inlineStr">
        <is>
          <t>내용연수재추정(2024-01-01→8년)</t>
        </is>
      </c>
      <c r="AC114" s="6" t="n">
        <v>722222</v>
      </c>
      <c r="AD114" s="6">
        <f>IF(IF(J114&lt;&gt;"",IF(L114&lt;&gt;"",L114,F114),F114)="생산량비례법",(D114-E114)*N114/M114,IF(IF(J114&lt;&gt;"",IF(L114&lt;&gt;"",L114,F114),F114)="정률법",IF(X114-X114*H114*V114/12&lt;=(D114+IF(R114&lt;&gt;"",R114,0))*0.05,Y114,X114*H114*V114/12),IF(IF(J114&lt;&gt;"",IF(L114&lt;&gt;"",L114,F114),F114)="이중체감법",IF(X114-X114*H114*V114/12&lt;=E114,Y114,X114*H114*V114/12),Y114*H114*V114/12)))</f>
        <v/>
      </c>
      <c r="AE114" s="6">
        <f>AD114-AC114</f>
        <v/>
      </c>
      <c r="AF114" s="6" t="n">
        <v>10111111</v>
      </c>
      <c r="AG114" s="6">
        <f>IF(F114="생산량비례법",IF(O114&lt;&gt;"",(D114-E114)*O114/M114,""),(D114+IF(AND(R114&lt;&gt;"",Q114&lt;='기준정보'!$E$4),R114,0))-Z114)</f>
        <v/>
      </c>
      <c r="AH114" s="6">
        <f>AG114-AF114</f>
        <v/>
      </c>
      <c r="AI114" s="6">
        <f>IF(AF114="","",AF114+AC114)</f>
        <v/>
      </c>
      <c r="AJ114" s="6">
        <f>IF(AG114="","",AG114+AD114)</f>
        <v/>
      </c>
      <c r="AK114" s="6">
        <f>AJ114-AI114</f>
        <v/>
      </c>
      <c r="AL114" t="inlineStr">
        <is>
          <t>경미한 차이</t>
        </is>
      </c>
      <c r="AM114" t="inlineStr">
        <is>
          <t>-</t>
        </is>
      </c>
      <c r="AN114" t="inlineStr">
        <is>
          <t>-</t>
        </is>
      </c>
    </row>
    <row r="115">
      <c r="A115" t="inlineStr">
        <is>
          <t>재추정_연수합계_유형01</t>
        </is>
      </c>
      <c r="B115" t="inlineStr">
        <is>
          <t>유형자산</t>
        </is>
      </c>
      <c r="C115" s="4" t="n">
        <v>44197</v>
      </c>
      <c r="D115" s="6" t="n">
        <v>12500000</v>
      </c>
      <c r="E115" s="6" t="n">
        <v>0</v>
      </c>
      <c r="F115" t="inlineStr">
        <is>
          <t>연수합계법</t>
        </is>
      </c>
      <c r="G115" t="n">
        <v>6</v>
      </c>
      <c r="H115" s="12">
        <f>IF(IF(J115&lt;&gt;"",IF(L115&lt;&gt;"",L115,F115),F115)="정률법",VLOOKUP(IF(J115&lt;&gt;"",K115,G115),'상각률표(별표4)'!$A$2:$C$60,3,FALSE),IF(IF(J115&lt;&gt;"",IF(L115&lt;&gt;"",L115,F115),F115)="생산량비례법","-",IF(IF(J115&lt;&gt;"",IF(L115&lt;&gt;"",L115,F115),F115)="이중체감법",2/IF(J115&lt;&gt;"",K115,G115),IF(IF(J115&lt;&gt;"",IF(L115&lt;&gt;"",L115,F115),F115)="연수합계법",(IF(J115&lt;&gt;"",K115,G115)-('기준정보'!$E$3-YEAR(IF(J115&lt;&gt;"",J115,C115))+1)+1)/(IF(J115&lt;&gt;"",K115,G115)*(IF(J115&lt;&gt;"",K115,G115)+1)/2),12/W115))))</f>
        <v/>
      </c>
      <c r="I115" s="4" t="inlineStr"/>
      <c r="J115" s="4" t="n">
        <v>45292</v>
      </c>
      <c r="K115" t="n">
        <v>8</v>
      </c>
      <c r="L115" t="inlineStr"/>
      <c r="M115" s="6" t="inlineStr"/>
      <c r="N115" s="6" t="inlineStr"/>
      <c r="O115" s="6" t="inlineStr"/>
      <c r="P115" s="6">
        <f>IF(OR(O115="",N115=""),"",O115+N115)</f>
        <v/>
      </c>
      <c r="Q115" s="4" t="inlineStr"/>
      <c r="R115" s="6" t="inlineStr"/>
      <c r="S115" s="4" t="inlineStr"/>
      <c r="T115" s="4" t="inlineStr"/>
      <c r="U115">
        <f>(YEAR('기준정보'!$E$2)-YEAR(C115))*12+MONTH('기준정보'!$E$2)-MONTH(C115)+1</f>
        <v/>
      </c>
      <c r="V115">
        <f>MAX(0,MAX(0,MIN((IF(J115&lt;&gt;"",YEAR(J115)*12+MONTH(J115),YEAR(C115)*12+MONTH(C115))+W115-1),('기준정보'!$E$3*12+12),IF(I115&lt;&gt;"",YEAR(I115)*12+MONTH(I115),9999999))-MAX(IF(J115&lt;&gt;"",YEAR(J115)*12+MONTH(J115),YEAR(C115)*12+MONTH(C115)),('기준정보'!$E$3*12+1))+1)-IF(S115&lt;&gt;"",MAX(0,MIN(MIN((IF(J115&lt;&gt;"",YEAR(J115)*12+MONTH(J115),YEAR(C115)*12+MONTH(C115))+W115-1),('기준정보'!$E$3*12+12),IF(I115&lt;&gt;"",YEAR(I115)*12+MONTH(I115),9999999)),YEAR(T115)*12+MONTH(T115))-MAX(MAX(IF(J115&lt;&gt;"",YEAR(J115)*12+MONTH(J115),YEAR(C115)*12+MONTH(C115)),('기준정보'!$E$3*12+1)),YEAR(S115)*12+MONTH(S115))+1),0))</f>
        <v/>
      </c>
      <c r="W115">
        <f>IF(J115&lt;&gt;"",K115,G115)*12</f>
        <v/>
      </c>
      <c r="X115" s="6" t="n">
        <v>3571428.571428573</v>
      </c>
      <c r="Y115" s="6">
        <f>X115-E115</f>
        <v/>
      </c>
      <c r="Z115" s="6" t="n">
        <v>2777777.777777779</v>
      </c>
      <c r="AA115" t="inlineStr">
        <is>
          <t>-</t>
        </is>
      </c>
      <c r="AB115" t="inlineStr">
        <is>
          <t>내용연수재추정(2024-01-01→8년)</t>
        </is>
      </c>
      <c r="AC115" s="6" t="n">
        <v>694444</v>
      </c>
      <c r="AD115" s="6">
        <f>IF(IF(J115&lt;&gt;"",IF(L115&lt;&gt;"",L115,F115),F115)="생산량비례법",(D115-E115)*N115/M115,IF(IF(J115&lt;&gt;"",IF(L115&lt;&gt;"",L115,F115),F115)="정률법",IF(X115-X115*H115*V115/12&lt;=(D115+IF(R115&lt;&gt;"",R115,0))*0.05,Y115,X115*H115*V115/12),IF(IF(J115&lt;&gt;"",IF(L115&lt;&gt;"",L115,F115),F115)="이중체감법",IF(X115-X115*H115*V115/12&lt;=E115,Y115,X115*H115*V115/12),Y115*H115*V115/12)))</f>
        <v/>
      </c>
      <c r="AE115" s="6">
        <f>AD115-AC115</f>
        <v/>
      </c>
      <c r="AF115" s="6" t="n">
        <v>10122222</v>
      </c>
      <c r="AG115" s="6">
        <f>IF(F115="생산량비례법",IF(O115&lt;&gt;"",(D115-E115)*O115/M115,""),(D115+IF(AND(R115&lt;&gt;"",Q115&lt;='기준정보'!$E$4),R115,0))-Z115)</f>
        <v/>
      </c>
      <c r="AH115" s="6">
        <f>AG115-AF115</f>
        <v/>
      </c>
      <c r="AI115" s="6">
        <f>IF(AF115="","",AF115+AC115)</f>
        <v/>
      </c>
      <c r="AJ115" s="6">
        <f>IF(AG115="","",AG115+AD115)</f>
        <v/>
      </c>
      <c r="AK115" s="6">
        <f>AJ115-AI115</f>
        <v/>
      </c>
      <c r="AL115" t="inlineStr">
        <is>
          <t>경미한 차이</t>
        </is>
      </c>
      <c r="AM115" t="inlineStr">
        <is>
          <t>-</t>
        </is>
      </c>
      <c r="AN115" t="inlineStr">
        <is>
          <t>-</t>
        </is>
      </c>
    </row>
    <row r="116">
      <c r="A116" t="inlineStr">
        <is>
          <t>방법변경_정액to이중체감_01</t>
        </is>
      </c>
      <c r="B116" t="inlineStr">
        <is>
          <t>유형자산</t>
        </is>
      </c>
      <c r="C116" s="4" t="n">
        <v>44197</v>
      </c>
      <c r="D116" s="6" t="n">
        <v>12000000</v>
      </c>
      <c r="E116" s="6" t="n">
        <v>0</v>
      </c>
      <c r="F116" t="inlineStr">
        <is>
          <t>정액법</t>
        </is>
      </c>
      <c r="G116" t="n">
        <v>8</v>
      </c>
      <c r="H116" s="12">
        <f>IF(IF(J116&lt;&gt;"",IF(L116&lt;&gt;"",L116,F116),F116)="정률법",VLOOKUP(IF(J116&lt;&gt;"",K116,G116),'상각률표(별표4)'!$A$2:$C$60,3,FALSE),IF(IF(J116&lt;&gt;"",IF(L116&lt;&gt;"",L116,F116),F116)="생산량비례법","-",IF(IF(J116&lt;&gt;"",IF(L116&lt;&gt;"",L116,F116),F116)="이중체감법",2/IF(J116&lt;&gt;"",K116,G116),IF(IF(J116&lt;&gt;"",IF(L116&lt;&gt;"",L116,F116),F116)="연수합계법",(IF(J116&lt;&gt;"",K116,G116)-('기준정보'!$E$3-YEAR(IF(J116&lt;&gt;"",J116,C116))+1)+1)/(IF(J116&lt;&gt;"",K116,G116)*(IF(J116&lt;&gt;"",K116,G116)+1)/2),12/W116))))</f>
        <v/>
      </c>
      <c r="I116" s="4" t="inlineStr"/>
      <c r="J116" s="4" t="n">
        <v>45292</v>
      </c>
      <c r="K116" t="n">
        <v>6</v>
      </c>
      <c r="L116" t="inlineStr">
        <is>
          <t>이중체감법</t>
        </is>
      </c>
      <c r="M116" s="6" t="inlineStr"/>
      <c r="N116" s="6" t="inlineStr"/>
      <c r="O116" s="6" t="inlineStr"/>
      <c r="P116" s="6">
        <f>IF(OR(O116="",N116=""),"",O116+N116)</f>
        <v/>
      </c>
      <c r="Q116" s="4" t="inlineStr"/>
      <c r="R116" s="6" t="inlineStr"/>
      <c r="S116" s="4" t="inlineStr"/>
      <c r="T116" s="4" t="inlineStr"/>
      <c r="U116">
        <f>(YEAR('기준정보'!$E$2)-YEAR(C116))*12+MONTH('기준정보'!$E$2)-MONTH(C116)+1</f>
        <v/>
      </c>
      <c r="V116">
        <f>MAX(0,MAX(0,MIN((IF(J116&lt;&gt;"",YEAR(J116)*12+MONTH(J116),YEAR(C116)*12+MONTH(C116))+W116-1),('기준정보'!$E$3*12+12),IF(I116&lt;&gt;"",YEAR(I116)*12+MONTH(I116),9999999))-MAX(IF(J116&lt;&gt;"",YEAR(J116)*12+MONTH(J116),YEAR(C116)*12+MONTH(C116)),('기준정보'!$E$3*12+1))+1)-IF(S116&lt;&gt;"",MAX(0,MIN(MIN((IF(J116&lt;&gt;"",YEAR(J116)*12+MONTH(J116),YEAR(C116)*12+MONTH(C116))+W116-1),('기준정보'!$E$3*12+12),IF(I116&lt;&gt;"",YEAR(I116)*12+MONTH(I116),9999999)),YEAR(T116)*12+MONTH(T116))-MAX(MAX(IF(J116&lt;&gt;"",YEAR(J116)*12+MONTH(J116),YEAR(C116)*12+MONTH(C116)),('기준정보'!$E$3*12+1)),YEAR(S116)*12+MONTH(S116))+1),0))</f>
        <v/>
      </c>
      <c r="W116">
        <f>IF(J116&lt;&gt;"",K116,G116)*12</f>
        <v/>
      </c>
      <c r="X116" s="6" t="n">
        <v>5000000</v>
      </c>
      <c r="Y116" s="6">
        <f>X116-E116</f>
        <v/>
      </c>
      <c r="Z116" s="6" t="n">
        <v>5000000</v>
      </c>
      <c r="AA116" t="inlineStr">
        <is>
          <t>-</t>
        </is>
      </c>
      <c r="AB116" t="inlineStr">
        <is>
          <t>내용연수재추정(2024-01-01→6년→이중체감법)</t>
        </is>
      </c>
      <c r="AC116" s="6" t="n">
        <v>1666667</v>
      </c>
      <c r="AD116" s="6">
        <f>IF(IF(J116&lt;&gt;"",IF(L116&lt;&gt;"",L116,F116),F116)="생산량비례법",(D116-E116)*N116/M116,IF(IF(J116&lt;&gt;"",IF(L116&lt;&gt;"",L116,F116),F116)="정률법",IF(X116-X116*H116*V116/12&lt;=(D116+IF(R116&lt;&gt;"",R116,0))*0.05,Y116,X116*H116*V116/12),IF(IF(J116&lt;&gt;"",IF(L116&lt;&gt;"",L116,F116),F116)="이중체감법",IF(X116-X116*H116*V116/12&lt;=E116,Y116,X116*H116*V116/12),Y116*H116*V116/12)))</f>
        <v/>
      </c>
      <c r="AE116" s="6">
        <f>AD116-AC116</f>
        <v/>
      </c>
      <c r="AF116" s="6" t="n">
        <v>7000000</v>
      </c>
      <c r="AG116" s="6">
        <f>IF(F116="생산량비례법",IF(O116&lt;&gt;"",(D116-E116)*O116/M116,""),(D116+IF(AND(R116&lt;&gt;"",Q116&lt;='기준정보'!$E$4),R116,0))-Z116)</f>
        <v/>
      </c>
      <c r="AH116" s="6">
        <f>AG116-AF116</f>
        <v/>
      </c>
      <c r="AI116" s="6">
        <f>IF(AF116="","",AF116+AC116)</f>
        <v/>
      </c>
      <c r="AJ116" s="6">
        <f>IF(AG116="","",AG116+AD116)</f>
        <v/>
      </c>
      <c r="AK116" s="6">
        <f>AJ116-AI116</f>
        <v/>
      </c>
      <c r="AL116" t="inlineStr">
        <is>
          <t>경미한 차이</t>
        </is>
      </c>
      <c r="AM116" t="inlineStr">
        <is>
          <t>-</t>
        </is>
      </c>
      <c r="AN116" t="inlineStr">
        <is>
          <t>-</t>
        </is>
      </c>
    </row>
    <row r="117">
      <c r="A117" t="inlineStr">
        <is>
          <t>방법변경_정률to연수합계_01</t>
        </is>
      </c>
      <c r="B117" t="inlineStr">
        <is>
          <t>유형자산</t>
        </is>
      </c>
      <c r="C117" s="4" t="n">
        <v>43831</v>
      </c>
      <c r="D117" s="6" t="n">
        <v>13500000</v>
      </c>
      <c r="E117" s="6" t="n">
        <v>0</v>
      </c>
      <c r="F117" t="inlineStr">
        <is>
          <t>정률법</t>
        </is>
      </c>
      <c r="G117" t="n">
        <v>8</v>
      </c>
      <c r="H117" s="12">
        <f>IF(IF(J117&lt;&gt;"",IF(L117&lt;&gt;"",L117,F117),F117)="정률법",VLOOKUP(IF(J117&lt;&gt;"",K117,G117),'상각률표(별표4)'!$A$2:$C$60,3,FALSE),IF(IF(J117&lt;&gt;"",IF(L117&lt;&gt;"",L117,F117),F117)="생산량비례법","-",IF(IF(J117&lt;&gt;"",IF(L117&lt;&gt;"",L117,F117),F117)="이중체감법",2/IF(J117&lt;&gt;"",K117,G117),IF(IF(J117&lt;&gt;"",IF(L117&lt;&gt;"",L117,F117),F117)="연수합계법",(IF(J117&lt;&gt;"",K117,G117)-('기준정보'!$E$3-YEAR(IF(J117&lt;&gt;"",J117,C117))+1)+1)/(IF(J117&lt;&gt;"",K117,G117)*(IF(J117&lt;&gt;"",K117,G117)+1)/2),12/W117))))</f>
        <v/>
      </c>
      <c r="I117" s="4" t="inlineStr"/>
      <c r="J117" s="4" t="n">
        <v>45292</v>
      </c>
      <c r="K117" t="n">
        <v>6</v>
      </c>
      <c r="L117" t="inlineStr">
        <is>
          <t>연수합계법</t>
        </is>
      </c>
      <c r="M117" s="6" t="inlineStr"/>
      <c r="N117" s="6" t="inlineStr"/>
      <c r="O117" s="6" t="inlineStr"/>
      <c r="P117" s="6">
        <f>IF(OR(O117="",N117=""),"",O117+N117)</f>
        <v/>
      </c>
      <c r="Q117" s="4" t="inlineStr"/>
      <c r="R117" s="6" t="inlineStr"/>
      <c r="S117" s="4" t="inlineStr"/>
      <c r="T117" s="4" t="inlineStr"/>
      <c r="U117">
        <f>(YEAR('기준정보'!$E$2)-YEAR(C117))*12+MONTH('기준정보'!$E$2)-MONTH(C117)+1</f>
        <v/>
      </c>
      <c r="V117">
        <f>MAX(0,MAX(0,MIN((IF(J117&lt;&gt;"",YEAR(J117)*12+MONTH(J117),YEAR(C117)*12+MONTH(C117))+W117-1),('기준정보'!$E$3*12+12),IF(I117&lt;&gt;"",YEAR(I117)*12+MONTH(I117),9999999))-MAX(IF(J117&lt;&gt;"",YEAR(J117)*12+MONTH(J117),YEAR(C117)*12+MONTH(C117)),('기준정보'!$E$3*12+1))+1)-IF(S117&lt;&gt;"",MAX(0,MIN(MIN((IF(J117&lt;&gt;"",YEAR(J117)*12+MONTH(J117),YEAR(C117)*12+MONTH(C117))+W117-1),('기준정보'!$E$3*12+12),IF(I117&lt;&gt;"",YEAR(I117)*12+MONTH(I117),9999999)),YEAR(T117)*12+MONTH(T117))-MAX(MAX(IF(J117&lt;&gt;"",YEAR(J117)*12+MONTH(J117),YEAR(C117)*12+MONTH(C117)),('기준정보'!$E$3*12+1)),YEAR(S117)*12+MONTH(S117))+1),0))</f>
        <v/>
      </c>
      <c r="W117">
        <f>IF(J117&lt;&gt;"",K117,G117)*12</f>
        <v/>
      </c>
      <c r="X117" s="6" t="n">
        <v>3007188.9489735</v>
      </c>
      <c r="Y117" s="6">
        <f>X117-E117</f>
        <v/>
      </c>
      <c r="Z117" s="6" t="n">
        <v>2147992.106409643</v>
      </c>
      <c r="AA117" t="inlineStr">
        <is>
          <t>-</t>
        </is>
      </c>
      <c r="AB117" t="inlineStr">
        <is>
          <t>내용연수재추정(2024-01-01→6년→연수합계법)</t>
        </is>
      </c>
      <c r="AC117" s="6" t="n">
        <v>715997</v>
      </c>
      <c r="AD117" s="6">
        <f>IF(IF(J117&lt;&gt;"",IF(L117&lt;&gt;"",L117,F117),F117)="생산량비례법",(D117-E117)*N117/M117,IF(IF(J117&lt;&gt;"",IF(L117&lt;&gt;"",L117,F117),F117)="정률법",IF(X117-X117*H117*V117/12&lt;=(D117+IF(R117&lt;&gt;"",R117,0))*0.05,Y117,X117*H117*V117/12),IF(IF(J117&lt;&gt;"",IF(L117&lt;&gt;"",L117,F117),F117)="이중체감법",IF(X117-X117*H117*V117/12&lt;=E117,Y117,X117*H117*V117/12),Y117*H117*V117/12)))</f>
        <v/>
      </c>
      <c r="AE117" s="6">
        <f>AD117-AC117</f>
        <v/>
      </c>
      <c r="AF117" s="6" t="n">
        <v>11352009</v>
      </c>
      <c r="AG117" s="6">
        <f>IF(F117="생산량비례법",IF(O117&lt;&gt;"",(D117-E117)*O117/M117,""),(D117+IF(AND(R117&lt;&gt;"",Q117&lt;='기준정보'!$E$4),R117,0))-Z117)</f>
        <v/>
      </c>
      <c r="AH117" s="6">
        <f>AG117-AF117</f>
        <v/>
      </c>
      <c r="AI117" s="6">
        <f>IF(AF117="","",AF117+AC117)</f>
        <v/>
      </c>
      <c r="AJ117" s="6">
        <f>IF(AG117="","",AG117+AD117)</f>
        <v/>
      </c>
      <c r="AK117" s="6">
        <f>AJ117-AI117</f>
        <v/>
      </c>
      <c r="AL117" t="inlineStr">
        <is>
          <t>경미한 차이</t>
        </is>
      </c>
      <c r="AM117" t="inlineStr">
        <is>
          <t>-</t>
        </is>
      </c>
      <c r="AN117" t="inlineStr">
        <is>
          <t>-</t>
        </is>
      </c>
    </row>
    <row r="118">
      <c r="A118" t="inlineStr">
        <is>
          <t>방법변경_이중체감to정액_01</t>
        </is>
      </c>
      <c r="B118" t="inlineStr">
        <is>
          <t>유형자산</t>
        </is>
      </c>
      <c r="C118" s="4" t="n">
        <v>43831</v>
      </c>
      <c r="D118" s="6" t="n">
        <v>11500000</v>
      </c>
      <c r="E118" s="6" t="n">
        <v>0</v>
      </c>
      <c r="F118" t="inlineStr">
        <is>
          <t>이중체감법</t>
        </is>
      </c>
      <c r="G118" t="n">
        <v>8</v>
      </c>
      <c r="H118" s="12">
        <f>IF(IF(J118&lt;&gt;"",IF(L118&lt;&gt;"",L118,F118),F118)="정률법",VLOOKUP(IF(J118&lt;&gt;"",K118,G118),'상각률표(별표4)'!$A$2:$C$60,3,FALSE),IF(IF(J118&lt;&gt;"",IF(L118&lt;&gt;"",L118,F118),F118)="생산량비례법","-",IF(IF(J118&lt;&gt;"",IF(L118&lt;&gt;"",L118,F118),F118)="이중체감법",2/IF(J118&lt;&gt;"",K118,G118),IF(IF(J118&lt;&gt;"",IF(L118&lt;&gt;"",L118,F118),F118)="연수합계법",(IF(J118&lt;&gt;"",K118,G118)-('기준정보'!$E$3-YEAR(IF(J118&lt;&gt;"",J118,C118))+1)+1)/(IF(J118&lt;&gt;"",K118,G118)*(IF(J118&lt;&gt;"",K118,G118)+1)/2),12/W118))))</f>
        <v/>
      </c>
      <c r="I118" s="4" t="inlineStr"/>
      <c r="J118" s="4" t="n">
        <v>45292</v>
      </c>
      <c r="K118" t="n">
        <v>6</v>
      </c>
      <c r="L118" t="inlineStr">
        <is>
          <t>정액법</t>
        </is>
      </c>
      <c r="M118" s="6" t="inlineStr"/>
      <c r="N118" s="6" t="inlineStr"/>
      <c r="O118" s="6" t="inlineStr"/>
      <c r="P118" s="6">
        <f>IF(OR(O118="",N118=""),"",O118+N118)</f>
        <v/>
      </c>
      <c r="Q118" s="4" t="inlineStr"/>
      <c r="R118" s="6" t="inlineStr"/>
      <c r="S118" s="4" t="inlineStr"/>
      <c r="T118" s="4" t="inlineStr"/>
      <c r="U118">
        <f>(YEAR('기준정보'!$E$2)-YEAR(C118))*12+MONTH('기준정보'!$E$2)-MONTH(C118)+1</f>
        <v/>
      </c>
      <c r="V118">
        <f>MAX(0,MAX(0,MIN((IF(J118&lt;&gt;"",YEAR(J118)*12+MONTH(J118),YEAR(C118)*12+MONTH(C118))+W118-1),('기준정보'!$E$3*12+12),IF(I118&lt;&gt;"",YEAR(I118)*12+MONTH(I118),9999999))-MAX(IF(J118&lt;&gt;"",YEAR(J118)*12+MONTH(J118),YEAR(C118)*12+MONTH(C118)),('기준정보'!$E$3*12+1))+1)-IF(S118&lt;&gt;"",MAX(0,MIN(MIN((IF(J118&lt;&gt;"",YEAR(J118)*12+MONTH(J118),YEAR(C118)*12+MONTH(C118))+W118-1),('기준정보'!$E$3*12+12),IF(I118&lt;&gt;"",YEAR(I118)*12+MONTH(I118),9999999)),YEAR(T118)*12+MONTH(T118))-MAX(MAX(IF(J118&lt;&gt;"",YEAR(J118)*12+MONTH(J118),YEAR(C118)*12+MONTH(C118)),('기준정보'!$E$3*12+1)),YEAR(S118)*12+MONTH(S118))+1),0))</f>
        <v/>
      </c>
      <c r="W118">
        <f>IF(J118&lt;&gt;"",K118,G118)*12</f>
        <v/>
      </c>
      <c r="X118" s="6" t="n">
        <v>3638671.875</v>
      </c>
      <c r="Y118" s="6">
        <f>X118-E118</f>
        <v/>
      </c>
      <c r="Z118" s="6" t="n">
        <v>3032226.5625</v>
      </c>
      <c r="AA118" t="inlineStr">
        <is>
          <t>-</t>
        </is>
      </c>
      <c r="AB118" t="inlineStr">
        <is>
          <t>내용연수재추정(2024-01-01→6년→정액법)</t>
        </is>
      </c>
      <c r="AC118" s="6" t="n">
        <v>606445</v>
      </c>
      <c r="AD118" s="6">
        <f>IF(IF(J118&lt;&gt;"",IF(L118&lt;&gt;"",L118,F118),F118)="생산량비례법",(D118-E118)*N118/M118,IF(IF(J118&lt;&gt;"",IF(L118&lt;&gt;"",L118,F118),F118)="정률법",IF(X118-X118*H118*V118/12&lt;=(D118+IF(R118&lt;&gt;"",R118,0))*0.05,Y118,X118*H118*V118/12),IF(IF(J118&lt;&gt;"",IF(L118&lt;&gt;"",L118,F118),F118)="이중체감법",IF(X118-X118*H118*V118/12&lt;=E118,Y118,X118*H118*V118/12),Y118*H118*V118/12)))</f>
        <v/>
      </c>
      <c r="AE118" s="6">
        <f>AD118-AC118</f>
        <v/>
      </c>
      <c r="AF118" s="6" t="n">
        <v>8467774</v>
      </c>
      <c r="AG118" s="6">
        <f>IF(F118="생산량비례법",IF(O118&lt;&gt;"",(D118-E118)*O118/M118,""),(D118+IF(AND(R118&lt;&gt;"",Q118&lt;='기준정보'!$E$4),R118,0))-Z118)</f>
        <v/>
      </c>
      <c r="AH118" s="6">
        <f>AG118-AF118</f>
        <v/>
      </c>
      <c r="AI118" s="6">
        <f>IF(AF118="","",AF118+AC118)</f>
        <v/>
      </c>
      <c r="AJ118" s="6">
        <f>IF(AG118="","",AG118+AD118)</f>
        <v/>
      </c>
      <c r="AK118" s="6">
        <f>AJ118-AI118</f>
        <v/>
      </c>
      <c r="AL118" t="inlineStr">
        <is>
          <t>경미한 차이</t>
        </is>
      </c>
      <c r="AM118" t="inlineStr">
        <is>
          <t>-</t>
        </is>
      </c>
      <c r="AN118" t="inlineStr">
        <is>
          <t>-</t>
        </is>
      </c>
    </row>
    <row r="119">
      <c r="A119" s="13" t="inlineStr">
        <is>
          <t>방법변경_연수합계to정률_01</t>
        </is>
      </c>
      <c r="B119" s="13" t="inlineStr">
        <is>
          <t>유형자산</t>
        </is>
      </c>
      <c r="C119" s="14" t="n">
        <v>44197</v>
      </c>
      <c r="D119" s="15" t="n">
        <v>12800000</v>
      </c>
      <c r="E119" s="15" t="n">
        <v>0</v>
      </c>
      <c r="F119" s="13" t="inlineStr">
        <is>
          <t>연수합계법</t>
        </is>
      </c>
      <c r="G119" s="13" t="n">
        <v>8</v>
      </c>
      <c r="H119" s="16">
        <f>IF(IF(J119&lt;&gt;"",IF(L119&lt;&gt;"",L119,F119),F119)="정률법",VLOOKUP(IF(J119&lt;&gt;"",K119,G119),'상각률표(별표4)'!$A$2:$C$60,3,FALSE),IF(IF(J119&lt;&gt;"",IF(L119&lt;&gt;"",L119,F119),F119)="생산량비례법","-",IF(IF(J119&lt;&gt;"",IF(L119&lt;&gt;"",L119,F119),F119)="이중체감법",2/IF(J119&lt;&gt;"",K119,G119),IF(IF(J119&lt;&gt;"",IF(L119&lt;&gt;"",L119,F119),F119)="연수합계법",(IF(J119&lt;&gt;"",K119,G119)-('기준정보'!$E$3-YEAR(IF(J119&lt;&gt;"",J119,C119))+1)+1)/(IF(J119&lt;&gt;"",K119,G119)*(IF(J119&lt;&gt;"",K119,G119)+1)/2),12/W119))))</f>
        <v/>
      </c>
      <c r="I119" s="14" t="inlineStr"/>
      <c r="J119" s="14" t="n">
        <v>45474</v>
      </c>
      <c r="K119" s="13" t="n">
        <v>5</v>
      </c>
      <c r="L119" s="13" t="inlineStr">
        <is>
          <t>정률법</t>
        </is>
      </c>
      <c r="M119" s="15" t="inlineStr"/>
      <c r="N119" s="15" t="inlineStr"/>
      <c r="O119" s="15" t="inlineStr"/>
      <c r="P119" s="15">
        <f>IF(OR(O119="",N119=""),"",O119+N119)</f>
        <v/>
      </c>
      <c r="Q119" s="14" t="inlineStr"/>
      <c r="R119" s="15" t="inlineStr"/>
      <c r="S119" s="14" t="inlineStr"/>
      <c r="T119" s="14" t="inlineStr"/>
      <c r="U119" s="13">
        <f>(YEAR('기준정보'!$E$2)-YEAR(C119))*12+MONTH('기준정보'!$E$2)-MONTH(C119)+1</f>
        <v/>
      </c>
      <c r="V119" s="13">
        <f>MAX(0,MAX(0,MIN((IF(J119&lt;&gt;"",YEAR(J119)*12+MONTH(J119),YEAR(C119)*12+MONTH(C119))+W119-1),('기준정보'!$E$3*12+12),IF(I119&lt;&gt;"",YEAR(I119)*12+MONTH(I119),9999999))-MAX(IF(J119&lt;&gt;"",YEAR(J119)*12+MONTH(J119),YEAR(C119)*12+MONTH(C119)),('기준정보'!$E$3*12+1))+1)-IF(S119&lt;&gt;"",MAX(0,MIN(MIN((IF(J119&lt;&gt;"",YEAR(J119)*12+MONTH(J119),YEAR(C119)*12+MONTH(C119))+W119-1),('기준정보'!$E$3*12+12),IF(I119&lt;&gt;"",YEAR(I119)*12+MONTH(I119),9999999)),YEAR(T119)*12+MONTH(T119))-MAX(MAX(IF(J119&lt;&gt;"",YEAR(J119)*12+MONTH(J119),YEAR(C119)*12+MONTH(C119)),('기준정보'!$E$3*12+1)),YEAR(S119)*12+MONTH(S119))+1),0))</f>
        <v/>
      </c>
      <c r="W119" s="13">
        <f>IF(J119&lt;&gt;"",K119,G119)*12</f>
        <v/>
      </c>
      <c r="X119" s="15" t="n">
        <v>3442222.222222222</v>
      </c>
      <c r="Y119" s="15">
        <f>X119-E119</f>
        <v/>
      </c>
      <c r="Z119" s="15" t="n">
        <v>3442222.222222222</v>
      </c>
      <c r="AA119" s="13" t="inlineStr">
        <is>
          <t>-</t>
        </is>
      </c>
      <c r="AB119" s="13" t="inlineStr">
        <is>
          <t>내용연수재추정(2024-07-01→5년→정률법)</t>
        </is>
      </c>
      <c r="AC119" s="15" t="n">
        <v>1402442</v>
      </c>
      <c r="AD119" s="15">
        <f>IF(IF(J119&lt;&gt;"",IF(L119&lt;&gt;"",L119,F119),F119)="생산량비례법",(D119-E119)*N119/M119,IF(IF(J119&lt;&gt;"",IF(L119&lt;&gt;"",L119,F119),F119)="정률법",IF(X119-X119*H119*V119/12&lt;=(D119+IF(R119&lt;&gt;"",R119,0))*0.05,Y119,X119*H119*V119/12),IF(IF(J119&lt;&gt;"",IF(L119&lt;&gt;"",L119,F119),F119)="이중체감법",IF(X119-X119*H119*V119/12&lt;=E119,Y119,X119*H119*V119/12),Y119*H119*V119/12)))</f>
        <v/>
      </c>
      <c r="AE119" s="15">
        <f>AD119-AC119</f>
        <v/>
      </c>
      <c r="AF119" s="15" t="n">
        <v>9357777</v>
      </c>
      <c r="AG119" s="15">
        <f>IF(F119="생산량비례법",IF(O119&lt;&gt;"",(D119-E119)*O119/M119,""),(D119+IF(AND(R119&lt;&gt;"",Q119&lt;='기준정보'!$E$4),R119,0))-Z119)</f>
        <v/>
      </c>
      <c r="AH119" s="15">
        <f>AG119-AF119</f>
        <v/>
      </c>
      <c r="AI119" s="15">
        <f>IF(AF119="","",AF119+AC119)</f>
        <v/>
      </c>
      <c r="AJ119" s="15">
        <f>IF(AG119="","",AG119+AD119)</f>
        <v/>
      </c>
      <c r="AK119" s="15">
        <f>AJ119-AI119</f>
        <v/>
      </c>
      <c r="AL119" s="13" t="inlineStr">
        <is>
          <t>경미한 차이</t>
        </is>
      </c>
      <c r="AM119" s="13" t="inlineStr">
        <is>
          <t>내용연수 재추정 반영 오류 추정(재추정시점 장부가액/신규 내용연수 미반영 가능성)</t>
        </is>
      </c>
      <c r="AN119" s="13" t="inlineStr">
        <is>
          <t>규칙</t>
        </is>
      </c>
    </row>
    <row r="120">
      <c r="A120" t="inlineStr">
        <is>
          <t>자본적지출_이중체감_전기_01</t>
        </is>
      </c>
      <c r="B120" t="inlineStr">
        <is>
          <t>유형자산</t>
        </is>
      </c>
      <c r="C120" s="4" t="n">
        <v>43831</v>
      </c>
      <c r="D120" s="6" t="n">
        <v>12000000</v>
      </c>
      <c r="E120" s="6" t="n">
        <v>0</v>
      </c>
      <c r="F120" t="inlineStr">
        <is>
          <t>이중체감법</t>
        </is>
      </c>
      <c r="G120" t="n">
        <v>10</v>
      </c>
      <c r="H120" s="12">
        <f>IF(IF(J120&lt;&gt;"",IF(L120&lt;&gt;"",L120,F120),F120)="정률법",VLOOKUP(IF(J120&lt;&gt;"",K120,G120),'상각률표(별표4)'!$A$2:$C$60,3,FALSE),IF(IF(J120&lt;&gt;"",IF(L120&lt;&gt;"",L120,F120),F120)="생산량비례법","-",IF(IF(J120&lt;&gt;"",IF(L120&lt;&gt;"",L120,F120),F120)="이중체감법",2/IF(J120&lt;&gt;"",K120,G120),IF(IF(J120&lt;&gt;"",IF(L120&lt;&gt;"",L120,F120),F120)="연수합계법",(IF(J120&lt;&gt;"",K120,G120)-('기준정보'!$E$3-YEAR(IF(J120&lt;&gt;"",J120,C120))+1)+1)/(IF(J120&lt;&gt;"",K120,G120)*(IF(J120&lt;&gt;"",K120,G120)+1)/2),12/W120))))</f>
        <v/>
      </c>
      <c r="I120" s="4" t="inlineStr"/>
      <c r="J120" s="4" t="inlineStr"/>
      <c r="K120" t="inlineStr"/>
      <c r="L120" t="inlineStr"/>
      <c r="M120" s="6" t="inlineStr"/>
      <c r="N120" s="6" t="inlineStr"/>
      <c r="O120" s="6" t="inlineStr"/>
      <c r="P120" s="6">
        <f>IF(OR(O120="",N120=""),"",O120+N120)</f>
        <v/>
      </c>
      <c r="Q120" s="4" t="n">
        <v>44927</v>
      </c>
      <c r="R120" s="6" t="n">
        <v>2000000</v>
      </c>
      <c r="S120" s="4" t="inlineStr"/>
      <c r="T120" s="4" t="inlineStr"/>
      <c r="U120">
        <f>(YEAR('기준정보'!$E$2)-YEAR(C120))*12+MONTH('기준정보'!$E$2)-MONTH(C120)+1</f>
        <v/>
      </c>
      <c r="V120" t="n">
        <v>12</v>
      </c>
      <c r="W120" t="n">
        <v>84</v>
      </c>
      <c r="X120" s="6" t="n">
        <v>5212160</v>
      </c>
      <c r="Y120" s="6">
        <f>X120-E120</f>
        <v/>
      </c>
      <c r="Z120" s="6" t="n">
        <v>5212160</v>
      </c>
      <c r="AA120" t="inlineStr">
        <is>
          <t>-</t>
        </is>
      </c>
      <c r="AB120" t="inlineStr">
        <is>
          <t>자본적지출(2023-01-01→2,000,000원)</t>
        </is>
      </c>
      <c r="AC120" s="6" t="n">
        <v>1042432</v>
      </c>
      <c r="AD120" s="6">
        <f>IF(IF(J120&lt;&gt;"",IF(L120&lt;&gt;"",L120,F120),F120)="생산량비례법",(D120-E120)*N120/M120,IF(IF(J120&lt;&gt;"",IF(L120&lt;&gt;"",L120,F120),F120)="정률법",IF(X120-X120*H120*V120/12&lt;=(D120+IF(R120&lt;&gt;"",R120,0))*0.05,Y120,X120*H120*V120/12),IF(IF(J120&lt;&gt;"",IF(L120&lt;&gt;"",L120,F120),F120)="이중체감법",IF(X120-X120*H120*V120/12&lt;=E120,Y120,X120*H120*V120/12),Y120*H120*V120/12)))</f>
        <v/>
      </c>
      <c r="AE120" s="6">
        <f>AD120-AC120</f>
        <v/>
      </c>
      <c r="AF120" s="6" t="n">
        <v>8787840</v>
      </c>
      <c r="AG120" s="6">
        <f>IF(F120="생산량비례법",IF(O120&lt;&gt;"",(D120-E120)*O120/M120,""),(D120+IF(AND(R120&lt;&gt;"",Q120&lt;='기준정보'!$E$4),R120,0))-Z120)</f>
        <v/>
      </c>
      <c r="AH120" s="6">
        <f>AG120-AF120</f>
        <v/>
      </c>
      <c r="AI120" s="6">
        <f>IF(AF120="","",AF120+AC120)</f>
        <v/>
      </c>
      <c r="AJ120" s="6">
        <f>IF(AG120="","",AG120+AD120)</f>
        <v/>
      </c>
      <c r="AK120" s="6">
        <f>AJ120-AI120</f>
        <v/>
      </c>
      <c r="AL120" t="inlineStr">
        <is>
          <t>경미한 차이</t>
        </is>
      </c>
      <c r="AM120" t="inlineStr">
        <is>
          <t>-</t>
        </is>
      </c>
      <c r="AN120" t="inlineStr">
        <is>
          <t>-</t>
        </is>
      </c>
    </row>
    <row r="121">
      <c r="A121" t="inlineStr">
        <is>
          <t>자본적지출_연수합계_전기_01</t>
        </is>
      </c>
      <c r="B121" t="inlineStr">
        <is>
          <t>유형자산</t>
        </is>
      </c>
      <c r="C121" s="4" t="n">
        <v>43831</v>
      </c>
      <c r="D121" s="6" t="n">
        <v>11500000</v>
      </c>
      <c r="E121" s="6" t="n">
        <v>0</v>
      </c>
      <c r="F121" t="inlineStr">
        <is>
          <t>연수합계법</t>
        </is>
      </c>
      <c r="G121" t="n">
        <v>10</v>
      </c>
      <c r="H121" s="12">
        <f>IF(IF(J121&lt;&gt;"",IF(L121&lt;&gt;"",L121,F121),F121)="정률법",VLOOKUP(IF(J121&lt;&gt;"",K121,G121),'상각률표(별표4)'!$A$2:$C$60,3,FALSE),IF(IF(J121&lt;&gt;"",IF(L121&lt;&gt;"",L121,F121),F121)="생산량비례법","-",IF(IF(J121&lt;&gt;"",IF(L121&lt;&gt;"",L121,F121),F121)="이중체감법",2/IF(J121&lt;&gt;"",K121,G121),IF(IF(J121&lt;&gt;"",IF(L121&lt;&gt;"",L121,F121),F121)="연수합계법",(IF(J121&lt;&gt;"",K121,G121)-('기준정보'!$E$3-YEAR(IF(J121&lt;&gt;"",J121,C121))+1)+1)/(IF(J121&lt;&gt;"",K121,G121)*(IF(J121&lt;&gt;"",K121,G121)+1)/2),12/W121))))</f>
        <v/>
      </c>
      <c r="I121" s="4" t="inlineStr"/>
      <c r="J121" s="4" t="inlineStr"/>
      <c r="K121" t="inlineStr"/>
      <c r="L121" t="inlineStr"/>
      <c r="M121" s="6" t="inlineStr"/>
      <c r="N121" s="6" t="inlineStr"/>
      <c r="O121" s="6" t="inlineStr"/>
      <c r="P121" s="6">
        <f>IF(OR(O121="",N121=""),"",O121+N121)</f>
        <v/>
      </c>
      <c r="Q121" s="4" t="n">
        <v>44927</v>
      </c>
      <c r="R121" s="6" t="n">
        <v>1800000</v>
      </c>
      <c r="S121" s="4" t="inlineStr"/>
      <c r="T121" s="4" t="inlineStr"/>
      <c r="U121">
        <f>(YEAR('기준정보'!$E$2)-YEAR(C121))*12+MONTH('기준정보'!$E$2)-MONTH(C121)+1</f>
        <v/>
      </c>
      <c r="V121" t="n">
        <v>12</v>
      </c>
      <c r="W121" t="n">
        <v>84</v>
      </c>
      <c r="X121" s="6" t="n">
        <v>7654545.454545454</v>
      </c>
      <c r="Y121" s="6">
        <f>X121-E121</f>
        <v/>
      </c>
      <c r="Z121" s="6" t="n">
        <v>5845289.256198348</v>
      </c>
      <c r="AA121" t="inlineStr">
        <is>
          <t>-</t>
        </is>
      </c>
      <c r="AB121" t="inlineStr">
        <is>
          <t>자본적지출(2023-01-01→1,800,000원)</t>
        </is>
      </c>
      <c r="AC121" s="6" t="n">
        <v>695868</v>
      </c>
      <c r="AD121" s="6">
        <f>IF(IF(J121&lt;&gt;"",IF(L121&lt;&gt;"",L121,F121),F121)="생산량비례법",(D121-E121)*N121/M121,IF(IF(J121&lt;&gt;"",IF(L121&lt;&gt;"",L121,F121),F121)="정률법",IF(X121-X121*H121*V121/12&lt;=(D121+IF(R121&lt;&gt;"",R121,0))*0.05,Y121,X121*H121*V121/12),IF(IF(J121&lt;&gt;"",IF(L121&lt;&gt;"",L121,F121),F121)="이중체감법",IF(X121-X121*H121*V121/12&lt;=E121,Y121,X121*H121*V121/12),Y121*H121*V121/12)))</f>
        <v/>
      </c>
      <c r="AE121" s="6">
        <f>AD121-AC121</f>
        <v/>
      </c>
      <c r="AF121" s="6" t="n">
        <v>7454710</v>
      </c>
      <c r="AG121" s="6">
        <f>IF(F121="생산량비례법",IF(O121&lt;&gt;"",(D121-E121)*O121/M121,""),(D121+IF(AND(R121&lt;&gt;"",Q121&lt;='기준정보'!$E$4),R121,0))-Z121)</f>
        <v/>
      </c>
      <c r="AH121" s="6">
        <f>AG121-AF121</f>
        <v/>
      </c>
      <c r="AI121" s="6">
        <f>IF(AF121="","",AF121+AC121)</f>
        <v/>
      </c>
      <c r="AJ121" s="6">
        <f>IF(AG121="","",AG121+AD121)</f>
        <v/>
      </c>
      <c r="AK121" s="6">
        <f>AJ121-AI121</f>
        <v/>
      </c>
      <c r="AL121" t="inlineStr">
        <is>
          <t>경미한 차이</t>
        </is>
      </c>
      <c r="AM121" t="inlineStr">
        <is>
          <t>-</t>
        </is>
      </c>
      <c r="AN121" t="inlineStr">
        <is>
          <t>-</t>
        </is>
      </c>
    </row>
    <row r="122">
      <c r="A122" t="inlineStr">
        <is>
          <t>상각중단_이중체감_당기일부_01</t>
        </is>
      </c>
      <c r="B122" t="inlineStr">
        <is>
          <t>유형자산</t>
        </is>
      </c>
      <c r="C122" s="4" t="n">
        <v>44197</v>
      </c>
      <c r="D122" s="6" t="n">
        <v>9500000</v>
      </c>
      <c r="E122" s="6" t="n">
        <v>0</v>
      </c>
      <c r="F122" t="inlineStr">
        <is>
          <t>이중체감법</t>
        </is>
      </c>
      <c r="G122" t="n">
        <v>5</v>
      </c>
      <c r="H122" s="12">
        <f>IF(IF(J122&lt;&gt;"",IF(L122&lt;&gt;"",L122,F122),F122)="정률법",VLOOKUP(IF(J122&lt;&gt;"",K122,G122),'상각률표(별표4)'!$A$2:$C$60,3,FALSE),IF(IF(J122&lt;&gt;"",IF(L122&lt;&gt;"",L122,F122),F122)="생산량비례법","-",IF(IF(J122&lt;&gt;"",IF(L122&lt;&gt;"",L122,F122),F122)="이중체감법",2/IF(J122&lt;&gt;"",K122,G122),IF(IF(J122&lt;&gt;"",IF(L122&lt;&gt;"",L122,F122),F122)="연수합계법",(IF(J122&lt;&gt;"",K122,G122)-('기준정보'!$E$3-YEAR(IF(J122&lt;&gt;"",J122,C122))+1)+1)/(IF(J122&lt;&gt;"",K122,G122)*(IF(J122&lt;&gt;"",K122,G122)+1)/2),12/W122))))</f>
        <v/>
      </c>
      <c r="I122" s="4" t="inlineStr"/>
      <c r="J122" s="4" t="inlineStr"/>
      <c r="K122" t="inlineStr"/>
      <c r="L122" t="inlineStr"/>
      <c r="M122" s="6" t="inlineStr"/>
      <c r="N122" s="6" t="inlineStr"/>
      <c r="O122" s="6" t="inlineStr"/>
      <c r="P122" s="6">
        <f>IF(OR(O122="",N122=""),"",O122+N122)</f>
        <v/>
      </c>
      <c r="Q122" s="4" t="inlineStr"/>
      <c r="R122" s="6" t="inlineStr"/>
      <c r="S122" s="4" t="n">
        <v>45717</v>
      </c>
      <c r="T122" s="4" t="n">
        <v>45930</v>
      </c>
      <c r="U122">
        <f>(YEAR('기준정보'!$E$2)-YEAR(C122))*12+MONTH('기준정보'!$E$2)-MONTH(C122)+1</f>
        <v/>
      </c>
      <c r="V122" t="n">
        <v>5</v>
      </c>
      <c r="W122" t="n">
        <v>60</v>
      </c>
      <c r="X122" s="6" t="n">
        <v>1231200</v>
      </c>
      <c r="Y122" s="6">
        <f>X122-E122</f>
        <v/>
      </c>
      <c r="Z122" s="6" t="n">
        <v>1231200</v>
      </c>
      <c r="AA122" t="inlineStr">
        <is>
          <t>-</t>
        </is>
      </c>
      <c r="AB122" t="inlineStr">
        <is>
          <t>상각중단(2025-03-01~2025-09-30)</t>
        </is>
      </c>
      <c r="AC122" s="6" t="n">
        <v>205200</v>
      </c>
      <c r="AD122" s="6">
        <f>IF(IF(J122&lt;&gt;"",IF(L122&lt;&gt;"",L122,F122),F122)="생산량비례법",(D122-E122)*N122/M122,IF(IF(J122&lt;&gt;"",IF(L122&lt;&gt;"",L122,F122),F122)="정률법",IF(X122-X122*H122*V122/12&lt;=(D122+IF(R122&lt;&gt;"",R122,0))*0.05,Y122,X122*H122*V122/12),IF(IF(J122&lt;&gt;"",IF(L122&lt;&gt;"",L122,F122),F122)="이중체감법",IF(X122-X122*H122*V122/12&lt;=E122,Y122,X122*H122*V122/12),Y122*H122*V122/12)))</f>
        <v/>
      </c>
      <c r="AE122" s="6">
        <f>AD122-AC122</f>
        <v/>
      </c>
      <c r="AF122" s="6" t="n">
        <v>8268800</v>
      </c>
      <c r="AG122" s="6">
        <f>IF(F122="생산량비례법",IF(O122&lt;&gt;"",(D122-E122)*O122/M122,""),(D122+IF(AND(R122&lt;&gt;"",Q122&lt;='기준정보'!$E$4),R122,0))-Z122)</f>
        <v/>
      </c>
      <c r="AH122" s="6">
        <f>AG122-AF122</f>
        <v/>
      </c>
      <c r="AI122" s="6">
        <f>IF(AF122="","",AF122+AC122)</f>
        <v/>
      </c>
      <c r="AJ122" s="6">
        <f>IF(AG122="","",AG122+AD122)</f>
        <v/>
      </c>
      <c r="AK122" s="6">
        <f>AJ122-AI122</f>
        <v/>
      </c>
      <c r="AL122" t="inlineStr">
        <is>
          <t>경미한 차이</t>
        </is>
      </c>
      <c r="AM122" t="inlineStr">
        <is>
          <t>-</t>
        </is>
      </c>
      <c r="AN122" t="inlineStr">
        <is>
          <t>-</t>
        </is>
      </c>
    </row>
    <row r="123">
      <c r="A123" t="inlineStr">
        <is>
          <t>상각중단_연수합계_당기일부_01</t>
        </is>
      </c>
      <c r="B123" t="inlineStr">
        <is>
          <t>유형자산</t>
        </is>
      </c>
      <c r="C123" s="4" t="n">
        <v>44197</v>
      </c>
      <c r="D123" s="6" t="n">
        <v>9800000</v>
      </c>
      <c r="E123" s="6" t="n">
        <v>0</v>
      </c>
      <c r="F123" t="inlineStr">
        <is>
          <t>연수합계법</t>
        </is>
      </c>
      <c r="G123" t="n">
        <v>5</v>
      </c>
      <c r="H123" s="12">
        <f>IF(IF(J123&lt;&gt;"",IF(L123&lt;&gt;"",L123,F123),F123)="정률법",VLOOKUP(IF(J123&lt;&gt;"",K123,G123),'상각률표(별표4)'!$A$2:$C$60,3,FALSE),IF(IF(J123&lt;&gt;"",IF(L123&lt;&gt;"",L123,F123),F123)="생산량비례법","-",IF(IF(J123&lt;&gt;"",IF(L123&lt;&gt;"",L123,F123),F123)="이중체감법",2/IF(J123&lt;&gt;"",K123,G123),IF(IF(J123&lt;&gt;"",IF(L123&lt;&gt;"",L123,F123),F123)="연수합계법",(IF(J123&lt;&gt;"",K123,G123)-('기준정보'!$E$3-YEAR(IF(J123&lt;&gt;"",J123,C123))+1)+1)/(IF(J123&lt;&gt;"",K123,G123)*(IF(J123&lt;&gt;"",K123,G123)+1)/2),12/W123))))</f>
        <v/>
      </c>
      <c r="I123" s="4" t="inlineStr"/>
      <c r="J123" s="4" t="inlineStr"/>
      <c r="K123" t="inlineStr"/>
      <c r="L123" t="inlineStr"/>
      <c r="M123" s="6" t="inlineStr"/>
      <c r="N123" s="6" t="inlineStr"/>
      <c r="O123" s="6" t="inlineStr"/>
      <c r="P123" s="6">
        <f>IF(OR(O123="",N123=""),"",O123+N123)</f>
        <v/>
      </c>
      <c r="Q123" s="4" t="inlineStr"/>
      <c r="R123" s="6" t="inlineStr"/>
      <c r="S123" s="4" t="n">
        <v>45689</v>
      </c>
      <c r="T123" s="4" t="n">
        <v>45900</v>
      </c>
      <c r="U123">
        <f>(YEAR('기준정보'!$E$2)-YEAR(C123))*12+MONTH('기준정보'!$E$2)-MONTH(C123)+1</f>
        <v/>
      </c>
      <c r="V123" t="n">
        <v>5</v>
      </c>
      <c r="W123" t="n">
        <v>60</v>
      </c>
      <c r="X123" s="6" t="n">
        <v>9800000</v>
      </c>
      <c r="Y123" s="6">
        <f>X123-E123</f>
        <v/>
      </c>
      <c r="Z123" s="6" t="n">
        <v>653333.3333333337</v>
      </c>
      <c r="AA123" t="inlineStr">
        <is>
          <t>-</t>
        </is>
      </c>
      <c r="AB123" t="inlineStr">
        <is>
          <t>상각중단(2025-02-01~2025-08-31)</t>
        </is>
      </c>
      <c r="AC123" s="6" t="n">
        <v>272222</v>
      </c>
      <c r="AD123" s="6">
        <f>IF(IF(J123&lt;&gt;"",IF(L123&lt;&gt;"",L123,F123),F123)="생산량비례법",(D123-E123)*N123/M123,IF(IF(J123&lt;&gt;"",IF(L123&lt;&gt;"",L123,F123),F123)="정률법",IF(X123-X123*H123*V123/12&lt;=(D123+IF(R123&lt;&gt;"",R123,0))*0.05,Y123,X123*H123*V123/12),IF(IF(J123&lt;&gt;"",IF(L123&lt;&gt;"",L123,F123),F123)="이중체감법",IF(X123-X123*H123*V123/12&lt;=E123,Y123,X123*H123*V123/12),Y123*H123*V123/12)))</f>
        <v/>
      </c>
      <c r="AE123" s="6">
        <f>AD123-AC123</f>
        <v/>
      </c>
      <c r="AF123" s="6" t="n">
        <v>9146667</v>
      </c>
      <c r="AG123" s="6">
        <f>IF(F123="생산량비례법",IF(O123&lt;&gt;"",(D123-E123)*O123/M123,""),(D123+IF(AND(R123&lt;&gt;"",Q123&lt;='기준정보'!$E$4),R123,0))-Z123)</f>
        <v/>
      </c>
      <c r="AH123" s="6">
        <f>AG123-AF123</f>
        <v/>
      </c>
      <c r="AI123" s="6">
        <f>IF(AF123="","",AF123+AC123)</f>
        <v/>
      </c>
      <c r="AJ123" s="6">
        <f>IF(AG123="","",AG123+AD123)</f>
        <v/>
      </c>
      <c r="AK123" s="6">
        <f>AJ123-AI123</f>
        <v/>
      </c>
      <c r="AL123" t="inlineStr">
        <is>
          <t>경미한 차이</t>
        </is>
      </c>
      <c r="AM123" t="inlineStr">
        <is>
          <t>-</t>
        </is>
      </c>
      <c r="AN123" t="inlineStr">
        <is>
          <t>-</t>
        </is>
      </c>
    </row>
  </sheetData>
  <autoFilter ref="A1:AN1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  <col width="14" customWidth="1" min="41" max="41"/>
    <col width="60" customWidth="1" min="42" max="42"/>
    <col width="14" customWidth="1" min="43" max="43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회사반영_당기말감가상각누계액</t>
        </is>
      </c>
      <c r="AJ1" s="7" t="inlineStr">
        <is>
          <t>재계산_당기말감가상각누계액</t>
        </is>
      </c>
      <c r="AK1" s="7" t="inlineStr">
        <is>
          <t>당기말누계액차이(재계산-회사반영)</t>
        </is>
      </c>
      <c r="AL1" s="7" t="inlineStr">
        <is>
          <t>중요성구분</t>
        </is>
      </c>
      <c r="AM1" s="7" t="inlineStr">
        <is>
          <t>추정원인</t>
        </is>
      </c>
      <c r="AN1" s="7" t="inlineStr">
        <is>
          <t>추정원인출처</t>
        </is>
      </c>
      <c r="AO1" s="7" t="inlineStr">
        <is>
          <t>검토자</t>
        </is>
      </c>
      <c r="AP1" s="7" t="inlineStr">
        <is>
          <t>검토의견</t>
        </is>
      </c>
      <c r="AQ1" s="7" t="inlineStr">
        <is>
          <t>검토일</t>
        </is>
      </c>
    </row>
    <row r="2">
      <c r="A2" s="13" t="inlineStr">
        <is>
          <t>방법변경_정률to정액_02</t>
        </is>
      </c>
      <c r="B2" s="13" t="inlineStr">
        <is>
          <t>유형자산</t>
        </is>
      </c>
      <c r="C2" s="14" t="n">
        <v>44197</v>
      </c>
      <c r="D2" s="15" t="n">
        <v>10000000</v>
      </c>
      <c r="E2" s="15" t="n">
        <v>0</v>
      </c>
      <c r="F2" s="13" t="inlineStr">
        <is>
          <t>정률법</t>
        </is>
      </c>
      <c r="G2" s="13" t="n">
        <v>8</v>
      </c>
      <c r="H2" s="16" t="n">
        <v>0.125</v>
      </c>
      <c r="I2" s="14" t="inlineStr"/>
      <c r="J2" s="14" t="n">
        <v>45839</v>
      </c>
      <c r="K2" s="13" t="n">
        <v>4</v>
      </c>
      <c r="L2" s="13" t="inlineStr">
        <is>
          <t>정액법</t>
        </is>
      </c>
      <c r="M2" s="15" t="inlineStr"/>
      <c r="N2" s="15" t="inlineStr"/>
      <c r="O2" s="15" t="inlineStr"/>
      <c r="P2" s="15" t="inlineStr"/>
      <c r="Q2" s="14" t="inlineStr"/>
      <c r="R2" s="15" t="inlineStr"/>
      <c r="S2" s="14" t="inlineStr"/>
      <c r="T2" s="14" t="inlineStr"/>
      <c r="U2" s="13" t="n">
        <v>60</v>
      </c>
      <c r="V2" s="13" t="n">
        <v>12</v>
      </c>
      <c r="W2" s="13" t="n">
        <v>96</v>
      </c>
      <c r="X2" s="15" t="n">
        <v>2227547.36961</v>
      </c>
      <c r="Y2" s="15" t="n">
        <v>2227547.36961</v>
      </c>
      <c r="Z2" s="15" t="n">
        <v>2227547.36961</v>
      </c>
      <c r="AA2" s="13" t="inlineStr">
        <is>
          <t>-</t>
        </is>
      </c>
      <c r="AB2" s="13" t="inlineStr">
        <is>
          <t>내용연수재추정(2025-07-01→4년→정액법)</t>
        </is>
      </c>
      <c r="AC2" s="15" t="n">
        <v>983478</v>
      </c>
      <c r="AD2" s="15" t="n">
        <v>583478</v>
      </c>
      <c r="AE2" s="15" t="n">
        <v>-400000</v>
      </c>
      <c r="AF2" s="15" t="n">
        <v>7772453</v>
      </c>
      <c r="AG2" s="15" t="n">
        <v>7772453</v>
      </c>
      <c r="AH2" s="15" t="n">
        <v>0</v>
      </c>
      <c r="AI2" s="15" t="n">
        <v>8755931</v>
      </c>
      <c r="AJ2" s="15" t="n">
        <v>8355931</v>
      </c>
      <c r="AK2" s="15" t="n">
        <v>-400000</v>
      </c>
      <c r="AL2" s="13" t="inlineStr">
        <is>
          <t>경미한 차이</t>
        </is>
      </c>
      <c r="AM2" s="13" t="inlineStr">
        <is>
          <t>내용연수 재추정 반영 오류 추정(재추정시점 장부가액/신규 내용연수 미반영 가능성)</t>
        </is>
      </c>
      <c r="AN2" s="13" t="inlineStr">
        <is>
          <t>규칙</t>
        </is>
      </c>
      <c r="AO2" s="17" t="inlineStr"/>
      <c r="AP2" s="17" t="inlineStr"/>
      <c r="AQ2" s="18" t="inlineStr"/>
    </row>
    <row r="3">
      <c r="A3" s="13" t="inlineStr">
        <is>
          <t>처분_정액_당기중_유형02</t>
        </is>
      </c>
      <c r="B3" s="13" t="inlineStr">
        <is>
          <t>유형자산</t>
        </is>
      </c>
      <c r="C3" s="14" t="n">
        <v>45107</v>
      </c>
      <c r="D3" s="15" t="n">
        <v>7000000</v>
      </c>
      <c r="E3" s="15" t="n">
        <v>0</v>
      </c>
      <c r="F3" s="13" t="inlineStr">
        <is>
          <t>정액법</t>
        </is>
      </c>
      <c r="G3" s="13" t="n">
        <v>5</v>
      </c>
      <c r="H3" s="16" t="n">
        <v>0.2</v>
      </c>
      <c r="I3" s="14" t="n">
        <v>45688</v>
      </c>
      <c r="J3" s="14" t="inlineStr"/>
      <c r="K3" s="13" t="inlineStr"/>
      <c r="L3" s="13" t="inlineStr"/>
      <c r="M3" s="15" t="inlineStr"/>
      <c r="N3" s="15" t="inlineStr"/>
      <c r="O3" s="15" t="inlineStr"/>
      <c r="P3" s="15" t="inlineStr"/>
      <c r="Q3" s="14" t="inlineStr"/>
      <c r="R3" s="15" t="inlineStr"/>
      <c r="S3" s="14" t="inlineStr"/>
      <c r="T3" s="14" t="inlineStr"/>
      <c r="U3" s="13" t="n">
        <v>31</v>
      </c>
      <c r="V3" s="13" t="n">
        <v>1</v>
      </c>
      <c r="W3" s="13" t="n">
        <v>60</v>
      </c>
      <c r="X3" s="15" t="n">
        <v>7000000</v>
      </c>
      <c r="Y3" s="15" t="n">
        <v>7000000</v>
      </c>
      <c r="Z3" s="15" t="n">
        <v>4783333.333333333</v>
      </c>
      <c r="AA3" s="13" t="inlineStr">
        <is>
          <t>-</t>
        </is>
      </c>
      <c r="AB3" s="13" t="inlineStr">
        <is>
          <t>당기중처분(2025-01-31)</t>
        </is>
      </c>
      <c r="AC3" s="15" t="n">
        <v>416667</v>
      </c>
      <c r="AD3" s="15" t="n">
        <v>116667</v>
      </c>
      <c r="AE3" s="15" t="n">
        <v>-300000</v>
      </c>
      <c r="AF3" s="15" t="n">
        <v>2216667</v>
      </c>
      <c r="AG3" s="15" t="n">
        <v>2216667</v>
      </c>
      <c r="AH3" s="15" t="n">
        <v>0</v>
      </c>
      <c r="AI3" s="15" t="n">
        <v>2633334</v>
      </c>
      <c r="AJ3" s="15" t="n">
        <v>2333334</v>
      </c>
      <c r="AK3" s="15" t="n">
        <v>-300000</v>
      </c>
      <c r="AL3" s="13" t="inlineStr">
        <is>
          <t>경미한 차이</t>
        </is>
      </c>
      <c r="AM3" s="13" t="inlineStr">
        <is>
          <t>처분일 반영 오류 추정(처분일까지의 월할상각 미반영 가능성)</t>
        </is>
      </c>
      <c r="AN3" s="13" t="inlineStr">
        <is>
          <t>규칙</t>
        </is>
      </c>
      <c r="AO3" s="17" t="inlineStr"/>
      <c r="AP3" s="17" t="inlineStr"/>
      <c r="AQ3" s="18" t="inlineStr"/>
    </row>
    <row r="4">
      <c r="A4" s="13" t="inlineStr">
        <is>
          <t>자본적지출_정률_당기중_01</t>
        </is>
      </c>
      <c r="B4" s="13" t="inlineStr">
        <is>
          <t>무형자산</t>
        </is>
      </c>
      <c r="C4" s="14" t="n">
        <v>44197</v>
      </c>
      <c r="D4" s="15" t="n">
        <v>12000000</v>
      </c>
      <c r="E4" s="15" t="n">
        <v>0</v>
      </c>
      <c r="F4" s="13" t="inlineStr">
        <is>
          <t>정률법</t>
        </is>
      </c>
      <c r="G4" s="13" t="n">
        <v>9</v>
      </c>
      <c r="H4" s="16" t="n">
        <v>0.284</v>
      </c>
      <c r="I4" s="14" t="inlineStr"/>
      <c r="J4" s="14" t="inlineStr"/>
      <c r="K4" s="13" t="inlineStr"/>
      <c r="L4" s="13" t="inlineStr"/>
      <c r="M4" s="15" t="inlineStr"/>
      <c r="N4" s="15" t="inlineStr"/>
      <c r="O4" s="15" t="inlineStr"/>
      <c r="P4" s="15" t="inlineStr"/>
      <c r="Q4" s="14" t="n">
        <v>45839</v>
      </c>
      <c r="R4" s="15" t="n">
        <v>1200000</v>
      </c>
      <c r="S4" s="14" t="inlineStr"/>
      <c r="T4" s="14" t="inlineStr"/>
      <c r="U4" s="13" t="n">
        <v>60</v>
      </c>
      <c r="V4" s="13" t="n">
        <v>12</v>
      </c>
      <c r="W4" s="13" t="n">
        <v>108</v>
      </c>
      <c r="X4" s="15" t="n">
        <v>3153794.092032</v>
      </c>
      <c r="Y4" s="15" t="n">
        <v>3153794.092032</v>
      </c>
      <c r="Z4" s="15" t="n">
        <v>3153794.092032</v>
      </c>
      <c r="AA4" s="13" t="inlineStr">
        <is>
          <t>-</t>
        </is>
      </c>
      <c r="AB4" s="13" t="inlineStr">
        <is>
          <t>자본적지출(2025-07-01→1,200,000원)</t>
        </is>
      </c>
      <c r="AC4" s="15" t="n">
        <v>1252484</v>
      </c>
      <c r="AD4" s="15" t="n">
        <v>1002484</v>
      </c>
      <c r="AE4" s="15" t="n">
        <v>-250000</v>
      </c>
      <c r="AF4" s="15" t="n">
        <v>8846206</v>
      </c>
      <c r="AG4" s="15" t="n">
        <v>8846206</v>
      </c>
      <c r="AH4" s="15" t="n">
        <v>0</v>
      </c>
      <c r="AI4" s="15" t="n">
        <v>10098690</v>
      </c>
      <c r="AJ4" s="15" t="n">
        <v>9848690</v>
      </c>
      <c r="AK4" s="15" t="n">
        <v>-250000</v>
      </c>
      <c r="AL4" s="13" t="inlineStr">
        <is>
          <t>경미한 차이</t>
        </is>
      </c>
      <c r="AM4" s="13" t="inlineStr">
        <is>
          <t>자본적지출 반영 오류 추정(지출액 가산 또는 잔여내용연수 재상각 미반영 가능성)</t>
        </is>
      </c>
      <c r="AN4" s="13" t="inlineStr">
        <is>
          <t>규칙</t>
        </is>
      </c>
      <c r="AO4" s="17" t="inlineStr"/>
      <c r="AP4" s="17" t="inlineStr"/>
      <c r="AQ4" s="18" t="inlineStr"/>
    </row>
    <row r="5">
      <c r="A5" s="13" t="inlineStr">
        <is>
          <t>재추정_정액_유형02</t>
        </is>
      </c>
      <c r="B5" s="13" t="inlineStr">
        <is>
          <t>유형자산</t>
        </is>
      </c>
      <c r="C5" s="14" t="n">
        <v>43831</v>
      </c>
      <c r="D5" s="15" t="n">
        <v>11000000</v>
      </c>
      <c r="E5" s="15" t="n">
        <v>0</v>
      </c>
      <c r="F5" s="13" t="inlineStr">
        <is>
          <t>정액법</t>
        </is>
      </c>
      <c r="G5" s="13" t="n">
        <v>5</v>
      </c>
      <c r="H5" s="16" t="n">
        <v>0.1428571428571428</v>
      </c>
      <c r="I5" s="14" t="inlineStr"/>
      <c r="J5" s="14" t="n">
        <v>44927</v>
      </c>
      <c r="K5" s="13" t="n">
        <v>7</v>
      </c>
      <c r="L5" s="13" t="inlineStr"/>
      <c r="M5" s="15" t="inlineStr"/>
      <c r="N5" s="15" t="inlineStr"/>
      <c r="O5" s="15" t="inlineStr"/>
      <c r="P5" s="15" t="inlineStr"/>
      <c r="Q5" s="14" t="inlineStr"/>
      <c r="R5" s="15" t="inlineStr"/>
      <c r="S5" s="14" t="inlineStr"/>
      <c r="T5" s="14" t="inlineStr"/>
      <c r="U5" s="13" t="n">
        <v>72</v>
      </c>
      <c r="V5" s="13" t="n">
        <v>12</v>
      </c>
      <c r="W5" s="13" t="n">
        <v>84</v>
      </c>
      <c r="X5" s="15" t="n">
        <v>4400000</v>
      </c>
      <c r="Y5" s="15" t="n">
        <v>4400000</v>
      </c>
      <c r="Z5" s="15" t="n">
        <v>3142857.142857143</v>
      </c>
      <c r="AA5" s="13" t="inlineStr">
        <is>
          <t>-</t>
        </is>
      </c>
      <c r="AB5" s="13" t="inlineStr">
        <is>
          <t>내용연수재추정(2023-01-01→7년)</t>
        </is>
      </c>
      <c r="AC5" s="15" t="n">
        <v>428571</v>
      </c>
      <c r="AD5" s="15" t="n">
        <v>628571</v>
      </c>
      <c r="AE5" s="15" t="n">
        <v>200000</v>
      </c>
      <c r="AF5" s="15" t="n">
        <v>7857142</v>
      </c>
      <c r="AG5" s="15" t="n">
        <v>7857142</v>
      </c>
      <c r="AH5" s="15" t="n">
        <v>0</v>
      </c>
      <c r="AI5" s="15" t="n">
        <v>8285713</v>
      </c>
      <c r="AJ5" s="15" t="n">
        <v>8485713</v>
      </c>
      <c r="AK5" s="15" t="n">
        <v>200000</v>
      </c>
      <c r="AL5" s="13" t="inlineStr">
        <is>
          <t>경미한 차이</t>
        </is>
      </c>
      <c r="AM5" s="13" t="inlineStr">
        <is>
          <t>내용연수 재추정 반영 오류 추정(재추정시점 장부가액/신규 내용연수 미반영 가능성)</t>
        </is>
      </c>
      <c r="AN5" s="13" t="inlineStr">
        <is>
          <t>규칙</t>
        </is>
      </c>
      <c r="AO5" s="17" t="inlineStr"/>
      <c r="AP5" s="17" t="inlineStr"/>
      <c r="AQ5" s="18" t="inlineStr"/>
    </row>
    <row r="6">
      <c r="A6" s="13" t="inlineStr">
        <is>
          <t>조합_처분reest_02</t>
        </is>
      </c>
      <c r="B6" s="13" t="inlineStr">
        <is>
          <t>유형자산</t>
        </is>
      </c>
      <c r="C6" s="14" t="n">
        <v>43831</v>
      </c>
      <c r="D6" s="15" t="n">
        <v>11500000</v>
      </c>
      <c r="E6" s="15" t="n">
        <v>0</v>
      </c>
      <c r="F6" s="13" t="inlineStr">
        <is>
          <t>정률법</t>
        </is>
      </c>
      <c r="G6" s="13" t="n">
        <v>7</v>
      </c>
      <c r="H6" s="16" t="n">
        <v>0.451</v>
      </c>
      <c r="I6" s="14" t="n">
        <v>45747</v>
      </c>
      <c r="J6" s="14" t="n">
        <v>44562</v>
      </c>
      <c r="K6" s="13" t="n">
        <v>5</v>
      </c>
      <c r="L6" s="13" t="inlineStr"/>
      <c r="M6" s="15" t="inlineStr"/>
      <c r="N6" s="15" t="inlineStr"/>
      <c r="O6" s="15" t="inlineStr"/>
      <c r="P6" s="15" t="inlineStr"/>
      <c r="Q6" s="14" t="inlineStr"/>
      <c r="R6" s="15" t="inlineStr"/>
      <c r="S6" s="14" t="inlineStr"/>
      <c r="T6" s="14" t="inlineStr"/>
      <c r="U6" s="13" t="n">
        <v>72</v>
      </c>
      <c r="V6" s="13" t="n">
        <v>3</v>
      </c>
      <c r="W6" s="13" t="n">
        <v>60</v>
      </c>
      <c r="X6" s="15" t="n">
        <v>806448.8943765134</v>
      </c>
      <c r="Y6" s="15" t="n">
        <v>806448.8943765134</v>
      </c>
      <c r="Z6" s="15" t="n">
        <v>806448.8943765134</v>
      </c>
      <c r="AA6" s="13" t="inlineStr">
        <is>
          <t>-</t>
        </is>
      </c>
      <c r="AB6" s="13" t="inlineStr">
        <is>
          <t>당기중처분(2025-03-31); 내용연수재추정(2022-01-01→5년)</t>
        </is>
      </c>
      <c r="AC6" s="15" t="n">
        <v>290927</v>
      </c>
      <c r="AD6" s="15" t="n">
        <v>90927</v>
      </c>
      <c r="AE6" s="15" t="n">
        <v>-200000</v>
      </c>
      <c r="AF6" s="15" t="n">
        <v>10693552</v>
      </c>
      <c r="AG6" s="15" t="n">
        <v>10693552</v>
      </c>
      <c r="AH6" s="15" t="n">
        <v>0</v>
      </c>
      <c r="AI6" s="15" t="n">
        <v>10984479</v>
      </c>
      <c r="AJ6" s="15" t="n">
        <v>10784479</v>
      </c>
      <c r="AK6" s="15" t="n">
        <v>-200000</v>
      </c>
      <c r="AL6" s="13" t="inlineStr">
        <is>
          <t>경미한 차이</t>
        </is>
      </c>
      <c r="AM6" s="13" t="inlineStr">
        <is>
          <t>처분일 반영 오류 추정(처분일까지의 월할상각 미반영 가능성)</t>
        </is>
      </c>
      <c r="AN6" s="13" t="inlineStr">
        <is>
          <t>규칙</t>
        </is>
      </c>
      <c r="AO6" s="17" t="inlineStr"/>
      <c r="AP6" s="17" t="inlineStr"/>
      <c r="AQ6" s="18" t="inlineStr"/>
    </row>
    <row r="7">
      <c r="A7" s="13" t="inlineStr">
        <is>
          <t>처분_연수합계_당기중_유형01</t>
        </is>
      </c>
      <c r="B7" s="13" t="inlineStr">
        <is>
          <t>유형자산</t>
        </is>
      </c>
      <c r="C7" s="14" t="n">
        <v>44197</v>
      </c>
      <c r="D7" s="15" t="n">
        <v>11000000</v>
      </c>
      <c r="E7" s="15" t="n">
        <v>0</v>
      </c>
      <c r="F7" s="13" t="inlineStr">
        <is>
          <t>연수합계법</t>
        </is>
      </c>
      <c r="G7" s="13" t="n">
        <v>6</v>
      </c>
      <c r="H7" s="16" t="n">
        <v>0.09523809523809523</v>
      </c>
      <c r="I7" s="14" t="n">
        <v>45777</v>
      </c>
      <c r="J7" s="14" t="inlineStr"/>
      <c r="K7" s="13" t="inlineStr"/>
      <c r="L7" s="13" t="inlineStr"/>
      <c r="M7" s="15" t="inlineStr"/>
      <c r="N7" s="15" t="inlineStr"/>
      <c r="O7" s="15" t="inlineStr"/>
      <c r="P7" s="15" t="inlineStr"/>
      <c r="Q7" s="14" t="inlineStr"/>
      <c r="R7" s="15" t="inlineStr"/>
      <c r="S7" s="14" t="inlineStr"/>
      <c r="T7" s="14" t="inlineStr"/>
      <c r="U7" s="13" t="n">
        <v>60</v>
      </c>
      <c r="V7" s="13" t="n">
        <v>4</v>
      </c>
      <c r="W7" s="13" t="n">
        <v>72</v>
      </c>
      <c r="X7" s="15" t="n">
        <v>11000000</v>
      </c>
      <c r="Y7" s="15" t="n">
        <v>11000000</v>
      </c>
      <c r="Z7" s="15" t="n">
        <v>1571428.57142857</v>
      </c>
      <c r="AA7" s="13" t="inlineStr">
        <is>
          <t>-</t>
        </is>
      </c>
      <c r="AB7" s="13" t="inlineStr">
        <is>
          <t>당기중처분(2025-04-30)</t>
        </is>
      </c>
      <c r="AC7" s="15" t="n">
        <v>529206</v>
      </c>
      <c r="AD7" s="15" t="n">
        <v>349206</v>
      </c>
      <c r="AE7" s="15" t="n">
        <v>-180000</v>
      </c>
      <c r="AF7" s="15" t="n">
        <v>9428572</v>
      </c>
      <c r="AG7" s="15" t="n">
        <v>9428572</v>
      </c>
      <c r="AH7" s="15" t="n">
        <v>0</v>
      </c>
      <c r="AI7" s="15" t="n">
        <v>9957778</v>
      </c>
      <c r="AJ7" s="15" t="n">
        <v>9777778</v>
      </c>
      <c r="AK7" s="15" t="n">
        <v>-180000</v>
      </c>
      <c r="AL7" s="13" t="inlineStr">
        <is>
          <t>경미한 차이</t>
        </is>
      </c>
      <c r="AM7" s="13" t="inlineStr">
        <is>
          <t>처분일 반영 오류 추정(처분일까지의 월할상각 미반영 가능성)</t>
        </is>
      </c>
      <c r="AN7" s="13" t="inlineStr">
        <is>
          <t>규칙</t>
        </is>
      </c>
      <c r="AO7" s="17" t="inlineStr"/>
      <c r="AP7" s="17" t="inlineStr"/>
      <c r="AQ7" s="18" t="inlineStr"/>
    </row>
    <row r="8">
      <c r="A8" s="13" t="inlineStr">
        <is>
          <t>상각중단_정액_당기일부_02</t>
        </is>
      </c>
      <c r="B8" s="13" t="inlineStr">
        <is>
          <t>유형자산</t>
        </is>
      </c>
      <c r="C8" s="14" t="n">
        <v>44562</v>
      </c>
      <c r="D8" s="15" t="n">
        <v>7500000</v>
      </c>
      <c r="E8" s="15" t="n">
        <v>0</v>
      </c>
      <c r="F8" s="13" t="inlineStr">
        <is>
          <t>정액법</t>
        </is>
      </c>
      <c r="G8" s="13" t="n">
        <v>5</v>
      </c>
      <c r="H8" s="16" t="n">
        <v>0.2</v>
      </c>
      <c r="I8" s="14" t="inlineStr"/>
      <c r="J8" s="14" t="inlineStr"/>
      <c r="K8" s="13" t="inlineStr"/>
      <c r="L8" s="13" t="inlineStr"/>
      <c r="M8" s="15" t="inlineStr"/>
      <c r="N8" s="15" t="inlineStr"/>
      <c r="O8" s="15" t="inlineStr"/>
      <c r="P8" s="15" t="inlineStr"/>
      <c r="Q8" s="14" t="inlineStr"/>
      <c r="R8" s="15" t="inlineStr"/>
      <c r="S8" s="14" t="n">
        <v>45383</v>
      </c>
      <c r="T8" s="14" t="n">
        <v>45596</v>
      </c>
      <c r="U8" s="13" t="n">
        <v>48</v>
      </c>
      <c r="V8" s="13" t="n">
        <v>12</v>
      </c>
      <c r="W8" s="13" t="n">
        <v>60</v>
      </c>
      <c r="X8" s="15" t="n">
        <v>7500000</v>
      </c>
      <c r="Y8" s="15" t="n">
        <v>7500000</v>
      </c>
      <c r="Z8" s="15" t="n">
        <v>3875000</v>
      </c>
      <c r="AA8" s="13" t="inlineStr">
        <is>
          <t>-</t>
        </is>
      </c>
      <c r="AB8" s="13" t="inlineStr">
        <is>
          <t>상각중단(2024-04-01~2024-10-31)</t>
        </is>
      </c>
      <c r="AC8" s="15" t="n">
        <v>1650000</v>
      </c>
      <c r="AD8" s="15" t="n">
        <v>1500000</v>
      </c>
      <c r="AE8" s="15" t="n">
        <v>-150000</v>
      </c>
      <c r="AF8" s="15" t="n">
        <v>3625000</v>
      </c>
      <c r="AG8" s="15" t="n">
        <v>3625000</v>
      </c>
      <c r="AH8" s="15" t="n">
        <v>0</v>
      </c>
      <c r="AI8" s="15" t="n">
        <v>5275000</v>
      </c>
      <c r="AJ8" s="15" t="n">
        <v>5125000</v>
      </c>
      <c r="AK8" s="15" t="n">
        <v>-150000</v>
      </c>
      <c r="AL8" s="13" t="inlineStr">
        <is>
          <t>경미한 차이</t>
        </is>
      </c>
      <c r="AM8" s="13" t="inlineStr">
        <is>
          <t>감가상각중단 반영 오류 추정(중단기간 0원 처리 또는 종료시점 연장 미반영 가능성)</t>
        </is>
      </c>
      <c r="AN8" s="13" t="inlineStr">
        <is>
          <t>규칙</t>
        </is>
      </c>
      <c r="AO8" s="17" t="inlineStr"/>
      <c r="AP8" s="17" t="inlineStr"/>
      <c r="AQ8" s="18" t="inlineStr"/>
    </row>
    <row r="9">
      <c r="A9" s="13" t="inlineStr">
        <is>
          <t>방법변경_연수합계to정률_01</t>
        </is>
      </c>
      <c r="B9" s="13" t="inlineStr">
        <is>
          <t>유형자산</t>
        </is>
      </c>
      <c r="C9" s="14" t="n">
        <v>44197</v>
      </c>
      <c r="D9" s="15" t="n">
        <v>12800000</v>
      </c>
      <c r="E9" s="15" t="n">
        <v>0</v>
      </c>
      <c r="F9" s="13" t="inlineStr">
        <is>
          <t>연수합계법</t>
        </is>
      </c>
      <c r="G9" s="13" t="n">
        <v>8</v>
      </c>
      <c r="H9" s="16" t="n">
        <v>0.451</v>
      </c>
      <c r="I9" s="14" t="inlineStr"/>
      <c r="J9" s="14" t="n">
        <v>45474</v>
      </c>
      <c r="K9" s="13" t="n">
        <v>5</v>
      </c>
      <c r="L9" s="13" t="inlineStr">
        <is>
          <t>정률법</t>
        </is>
      </c>
      <c r="M9" s="15" t="inlineStr"/>
      <c r="N9" s="15" t="inlineStr"/>
      <c r="O9" s="15" t="inlineStr"/>
      <c r="P9" s="15" t="inlineStr"/>
      <c r="Q9" s="14" t="inlineStr"/>
      <c r="R9" s="15" t="inlineStr"/>
      <c r="S9" s="14" t="inlineStr"/>
      <c r="T9" s="14" t="inlineStr"/>
      <c r="U9" s="13" t="n">
        <v>60</v>
      </c>
      <c r="V9" s="13" t="n">
        <v>12</v>
      </c>
      <c r="W9" s="13" t="n">
        <v>60</v>
      </c>
      <c r="X9" s="15" t="n">
        <v>3442222.222222222</v>
      </c>
      <c r="Y9" s="15" t="n">
        <v>3442222.222222222</v>
      </c>
      <c r="Z9" s="15" t="n">
        <v>3442222.222222222</v>
      </c>
      <c r="AA9" s="13" t="inlineStr">
        <is>
          <t>-</t>
        </is>
      </c>
      <c r="AB9" s="13" t="inlineStr">
        <is>
          <t>내용연수재추정(2024-07-01→5년→정률법)</t>
        </is>
      </c>
      <c r="AC9" s="15" t="n">
        <v>1402442</v>
      </c>
      <c r="AD9" s="15" t="n">
        <v>1552442</v>
      </c>
      <c r="AE9" s="15" t="n">
        <v>150000</v>
      </c>
      <c r="AF9" s="15" t="n">
        <v>9357777</v>
      </c>
      <c r="AG9" s="15" t="n">
        <v>9357777</v>
      </c>
      <c r="AH9" s="15" t="n">
        <v>0</v>
      </c>
      <c r="AI9" s="15" t="n">
        <v>10760219</v>
      </c>
      <c r="AJ9" s="15" t="n">
        <v>10910219</v>
      </c>
      <c r="AK9" s="15" t="n">
        <v>150000</v>
      </c>
      <c r="AL9" s="13" t="inlineStr">
        <is>
          <t>경미한 차이</t>
        </is>
      </c>
      <c r="AM9" s="13" t="inlineStr">
        <is>
          <t>내용연수 재추정 반영 오류 추정(재추정시점 장부가액/신규 내용연수 미반영 가능성)</t>
        </is>
      </c>
      <c r="AN9" s="13" t="inlineStr">
        <is>
          <t>규칙</t>
        </is>
      </c>
      <c r="AO9" s="17" t="inlineStr"/>
      <c r="AP9" s="17" t="inlineStr"/>
      <c r="AQ9" s="18" t="inlineStr"/>
    </row>
  </sheetData>
  <autoFilter ref="A1:AQ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  <col width="14" customWidth="1" min="41" max="41"/>
    <col width="60" customWidth="1" min="42" max="42"/>
    <col width="14" customWidth="1" min="43" max="43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회사반영_당기말감가상각누계액</t>
        </is>
      </c>
      <c r="AJ1" s="7" t="inlineStr">
        <is>
          <t>재계산_당기말감가상각누계액</t>
        </is>
      </c>
      <c r="AK1" s="7" t="inlineStr">
        <is>
          <t>당기말누계액차이(재계산-회사반영)</t>
        </is>
      </c>
      <c r="AL1" s="7" t="inlineStr">
        <is>
          <t>중요성구분</t>
        </is>
      </c>
      <c r="AM1" s="7" t="inlineStr">
        <is>
          <t>추정원인</t>
        </is>
      </c>
      <c r="AN1" s="7" t="inlineStr">
        <is>
          <t>추정원인출처</t>
        </is>
      </c>
      <c r="AO1" s="7" t="inlineStr">
        <is>
          <t>검토자</t>
        </is>
      </c>
      <c r="AP1" s="7" t="inlineStr">
        <is>
          <t>검토의견</t>
        </is>
      </c>
      <c r="AQ1" s="7" t="inlineStr">
        <is>
          <t>검토일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9" customWidth="1" min="16" max="16"/>
    <col width="60" customWidth="1" min="17" max="17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내용연수(년)</t>
        </is>
      </c>
      <c r="G1" s="7" t="inlineStr">
        <is>
          <t>상각방법</t>
        </is>
      </c>
      <c r="H1" s="7" t="inlineStr">
        <is>
          <t>회사반영_당기감가상각비</t>
        </is>
      </c>
      <c r="I1" s="7" t="inlineStr">
        <is>
          <t>총예정생산량</t>
        </is>
      </c>
      <c r="J1" s="7" t="inlineStr">
        <is>
          <t>당기실제생산량</t>
        </is>
      </c>
      <c r="K1" s="7" t="inlineStr">
        <is>
          <t>전기말누적생산량</t>
        </is>
      </c>
      <c r="L1" s="7" t="inlineStr">
        <is>
          <t>자본적지출일</t>
        </is>
      </c>
      <c r="M1" s="7" t="inlineStr">
        <is>
          <t>자본적지출액</t>
        </is>
      </c>
      <c r="N1" s="7" t="inlineStr">
        <is>
          <t>상각중단시작일</t>
        </is>
      </c>
      <c r="O1" s="7" t="inlineStr">
        <is>
          <t>상각중단종료일</t>
        </is>
      </c>
      <c r="P1" s="7" t="inlineStr">
        <is>
          <t>회사반영_전기말감가상각누계액</t>
        </is>
      </c>
      <c r="Q1" s="7" t="inlineStr">
        <is>
          <t>오류사유</t>
        </is>
      </c>
    </row>
    <row r="2">
      <c r="A2" s="19" t="inlineStr">
        <is>
          <t>오류_내용연수0</t>
        </is>
      </c>
      <c r="B2" s="19" t="inlineStr">
        <is>
          <t>유형자산</t>
        </is>
      </c>
      <c r="C2" s="20" t="n">
        <v>44562</v>
      </c>
      <c r="D2" s="21" t="n">
        <v>10000000</v>
      </c>
      <c r="E2" s="21" t="n">
        <v>0</v>
      </c>
      <c r="F2" s="19" t="n">
        <v>0</v>
      </c>
      <c r="G2" s="19" t="inlineStr">
        <is>
          <t>정액법</t>
        </is>
      </c>
      <c r="H2" s="21" t="n">
        <v>1000000</v>
      </c>
      <c r="I2" s="21" t="inlineStr"/>
      <c r="J2" s="21" t="inlineStr"/>
      <c r="K2" s="21" t="inlineStr"/>
      <c r="L2" s="20" t="inlineStr"/>
      <c r="M2" s="21" t="inlineStr"/>
      <c r="N2" s="20" t="inlineStr"/>
      <c r="O2" s="20" t="inlineStr"/>
      <c r="P2" s="21" t="inlineStr"/>
      <c r="Q2" s="19" t="inlineStr">
        <is>
          <t>내용연수 오류(내용연수=0년, 1년 이상의 정수여야 함)</t>
        </is>
      </c>
    </row>
    <row r="3">
      <c r="A3" s="19" t="inlineStr">
        <is>
          <t>오류_내용연수음수</t>
        </is>
      </c>
      <c r="B3" s="19" t="inlineStr">
        <is>
          <t>유형자산</t>
        </is>
      </c>
      <c r="C3" s="20" t="n">
        <v>44562</v>
      </c>
      <c r="D3" s="21" t="n">
        <v>10000000</v>
      </c>
      <c r="E3" s="21" t="n">
        <v>0</v>
      </c>
      <c r="F3" s="19" t="n">
        <v>-5</v>
      </c>
      <c r="G3" s="19" t="inlineStr">
        <is>
          <t>정액법</t>
        </is>
      </c>
      <c r="H3" s="21" t="n">
        <v>1000000</v>
      </c>
      <c r="I3" s="21" t="inlineStr"/>
      <c r="J3" s="21" t="inlineStr"/>
      <c r="K3" s="21" t="inlineStr"/>
      <c r="L3" s="20" t="inlineStr"/>
      <c r="M3" s="21" t="inlineStr"/>
      <c r="N3" s="20" t="inlineStr"/>
      <c r="O3" s="20" t="inlineStr"/>
      <c r="P3" s="21" t="inlineStr"/>
      <c r="Q3" s="19" t="inlineStr">
        <is>
          <t>내용연수 오류(내용연수=-5년, 1년 이상의 정수여야 함)</t>
        </is>
      </c>
    </row>
    <row r="4">
      <c r="A4" s="19" t="inlineStr">
        <is>
          <t>오류_취득원가0이하</t>
        </is>
      </c>
      <c r="B4" s="19" t="inlineStr">
        <is>
          <t>유형자산</t>
        </is>
      </c>
      <c r="C4" s="20" t="n">
        <v>44562</v>
      </c>
      <c r="D4" s="21" t="n">
        <v>0</v>
      </c>
      <c r="E4" s="21" t="n">
        <v>0</v>
      </c>
      <c r="F4" s="19" t="n">
        <v>5</v>
      </c>
      <c r="G4" s="19" t="inlineStr">
        <is>
          <t>정액법</t>
        </is>
      </c>
      <c r="H4" s="21" t="n">
        <v>500000</v>
      </c>
      <c r="I4" s="21" t="inlineStr"/>
      <c r="J4" s="21" t="inlineStr"/>
      <c r="K4" s="21" t="inlineStr"/>
      <c r="L4" s="20" t="inlineStr"/>
      <c r="M4" s="21" t="inlineStr"/>
      <c r="N4" s="20" t="inlineStr"/>
      <c r="O4" s="20" t="inlineStr"/>
      <c r="P4" s="21" t="inlineStr"/>
      <c r="Q4" s="19" t="inlineStr">
        <is>
          <t>취득원가 오류(취득원가=0원, 0보다 커야 함); 잔존가치 오류(잔존가치=0원, 취득원가=0원 미만이어야 함)</t>
        </is>
      </c>
    </row>
    <row r="5">
      <c r="A5" s="19" t="inlineStr">
        <is>
          <t>오류_잔존가치초과</t>
        </is>
      </c>
      <c r="B5" s="19" t="inlineStr">
        <is>
          <t>유형자산</t>
        </is>
      </c>
      <c r="C5" s="20" t="n">
        <v>44562</v>
      </c>
      <c r="D5" s="21" t="n">
        <v>10000000</v>
      </c>
      <c r="E5" s="21" t="n">
        <v>15000000</v>
      </c>
      <c r="F5" s="19" t="n">
        <v>5</v>
      </c>
      <c r="G5" s="19" t="inlineStr">
        <is>
          <t>정액법</t>
        </is>
      </c>
      <c r="H5" s="21" t="n">
        <v>500000</v>
      </c>
      <c r="I5" s="21" t="inlineStr"/>
      <c r="J5" s="21" t="inlineStr"/>
      <c r="K5" s="21" t="inlineStr"/>
      <c r="L5" s="20" t="inlineStr"/>
      <c r="M5" s="21" t="inlineStr"/>
      <c r="N5" s="20" t="inlineStr"/>
      <c r="O5" s="20" t="inlineStr"/>
      <c r="P5" s="21" t="inlineStr"/>
      <c r="Q5" s="19" t="inlineStr">
        <is>
          <t>잔존가치 오류(잔존가치=15,000,000원, 취득원가=10,000,000원 미만이어야 함)</t>
        </is>
      </c>
    </row>
    <row r="6">
      <c r="A6" s="19" t="inlineStr">
        <is>
          <t>오류_생산량비례법생산량누락</t>
        </is>
      </c>
      <c r="B6" s="19" t="inlineStr">
        <is>
          <t>유형자산</t>
        </is>
      </c>
      <c r="C6" s="20" t="n">
        <v>44562</v>
      </c>
      <c r="D6" s="21" t="n">
        <v>10000000</v>
      </c>
      <c r="E6" s="21" t="n">
        <v>0</v>
      </c>
      <c r="F6" s="19" t="n">
        <v>5</v>
      </c>
      <c r="G6" s="19" t="inlineStr">
        <is>
          <t>생산량비례법</t>
        </is>
      </c>
      <c r="H6" s="21" t="n">
        <v>500000</v>
      </c>
      <c r="I6" s="21" t="inlineStr"/>
      <c r="J6" s="21" t="n">
        <v>5000</v>
      </c>
      <c r="K6" s="21" t="inlineStr"/>
      <c r="L6" s="20" t="inlineStr"/>
      <c r="M6" s="21" t="inlineStr"/>
      <c r="N6" s="20" t="inlineStr"/>
      <c r="O6" s="20" t="inlineStr"/>
      <c r="P6" s="21" t="inlineStr"/>
      <c r="Q6" s="19" t="inlineStr">
        <is>
          <t>총예정생산량 오류(총예정생산량=None, 0보다 커야 함)</t>
        </is>
      </c>
    </row>
    <row r="7">
      <c r="A7" s="19" t="inlineStr">
        <is>
          <t>오류_자본적지출날짜금액불일치</t>
        </is>
      </c>
      <c r="B7" s="19" t="inlineStr">
        <is>
          <t>유형자산</t>
        </is>
      </c>
      <c r="C7" s="20" t="n">
        <v>44562</v>
      </c>
      <c r="D7" s="21" t="n">
        <v>10000000</v>
      </c>
      <c r="E7" s="21" t="n">
        <v>0</v>
      </c>
      <c r="F7" s="19" t="n">
        <v>5</v>
      </c>
      <c r="G7" s="19" t="inlineStr">
        <is>
          <t>정액법</t>
        </is>
      </c>
      <c r="H7" s="21" t="n">
        <v>500000</v>
      </c>
      <c r="I7" s="21" t="inlineStr"/>
      <c r="J7" s="21" t="inlineStr"/>
      <c r="K7" s="21" t="inlineStr"/>
      <c r="L7" s="20" t="n">
        <v>45292</v>
      </c>
      <c r="M7" s="21" t="inlineStr"/>
      <c r="N7" s="20" t="inlineStr"/>
      <c r="O7" s="20" t="inlineStr"/>
      <c r="P7" s="21" t="inlineStr"/>
      <c r="Q7" s="19" t="inlineStr">
        <is>
          <t>자본적지출 오류(자본적지출일과 자본적지출액은 함께 입력되어야 함)</t>
        </is>
      </c>
    </row>
    <row r="8">
      <c r="A8" s="19" t="inlineStr">
        <is>
          <t>오류_상각중단시작종료역전</t>
        </is>
      </c>
      <c r="B8" s="19" t="inlineStr">
        <is>
          <t>유형자산</t>
        </is>
      </c>
      <c r="C8" s="20" t="n">
        <v>44562</v>
      </c>
      <c r="D8" s="21" t="n">
        <v>10000000</v>
      </c>
      <c r="E8" s="21" t="n">
        <v>0</v>
      </c>
      <c r="F8" s="19" t="n">
        <v>5</v>
      </c>
      <c r="G8" s="19" t="inlineStr">
        <is>
          <t>정액법</t>
        </is>
      </c>
      <c r="H8" s="21" t="n">
        <v>500000</v>
      </c>
      <c r="I8" s="21" t="inlineStr"/>
      <c r="J8" s="21" t="inlineStr"/>
      <c r="K8" s="21" t="inlineStr"/>
      <c r="L8" s="20" t="inlineStr"/>
      <c r="M8" s="21" t="inlineStr"/>
      <c r="N8" s="20" t="n">
        <v>45444</v>
      </c>
      <c r="O8" s="20" t="n">
        <v>45292</v>
      </c>
      <c r="P8" s="21" t="inlineStr"/>
      <c r="Q8" s="19" t="inlineStr">
        <is>
          <t>상각중단기간 오류(상각중단종료일=2024-01-01이 상각중단시작일=2024-06-01보다 빠름)</t>
        </is>
      </c>
    </row>
    <row r="9">
      <c r="A9" s="19" t="inlineStr">
        <is>
          <t>오류_재추정후상각방법오타</t>
        </is>
      </c>
      <c r="B9" s="19" t="inlineStr">
        <is>
          <t>유형자산</t>
        </is>
      </c>
      <c r="C9" s="20" t="n">
        <v>44562</v>
      </c>
      <c r="D9" s="21" t="n">
        <v>10000000</v>
      </c>
      <c r="E9" s="21" t="n">
        <v>0</v>
      </c>
      <c r="F9" s="19" t="n">
        <v>5</v>
      </c>
      <c r="G9" s="19" t="inlineStr">
        <is>
          <t>정액법</t>
        </is>
      </c>
      <c r="H9" s="21" t="n">
        <v>500000</v>
      </c>
      <c r="I9" s="21" t="inlineStr"/>
      <c r="J9" s="21" t="inlineStr"/>
      <c r="K9" s="21" t="inlineStr"/>
      <c r="L9" s="20" t="inlineStr"/>
      <c r="M9" s="21" t="inlineStr"/>
      <c r="N9" s="20" t="inlineStr"/>
      <c r="O9" s="20" t="inlineStr"/>
      <c r="P9" s="21" t="inlineStr"/>
      <c r="Q9" s="19" t="inlineStr">
        <is>
          <t>재추정후상각방법 오류(값=정율법, 정액법/정률법/이중체감법/연수합계법 중 하나여야 함)</t>
        </is>
      </c>
    </row>
    <row r="10">
      <c r="A10" s="19" t="inlineStr">
        <is>
          <t>오류_상각중단짝안맞음</t>
        </is>
      </c>
      <c r="B10" s="19" t="inlineStr">
        <is>
          <t>유형자산</t>
        </is>
      </c>
      <c r="C10" s="20" t="n">
        <v>44562</v>
      </c>
      <c r="D10" s="21" t="n">
        <v>10000000</v>
      </c>
      <c r="E10" s="21" t="n">
        <v>0</v>
      </c>
      <c r="F10" s="19" t="n">
        <v>5</v>
      </c>
      <c r="G10" s="19" t="inlineStr">
        <is>
          <t>정액법</t>
        </is>
      </c>
      <c r="H10" s="21" t="n">
        <v>500000</v>
      </c>
      <c r="I10" s="21" t="inlineStr"/>
      <c r="J10" s="21" t="inlineStr"/>
      <c r="K10" s="21" t="inlineStr"/>
      <c r="L10" s="20" t="inlineStr"/>
      <c r="M10" s="21" t="inlineStr"/>
      <c r="N10" s="20" t="n">
        <v>45292</v>
      </c>
      <c r="O10" s="20" t="inlineStr"/>
      <c r="P10" s="21" t="inlineStr"/>
      <c r="Q10" s="19" t="inlineStr">
        <is>
          <t>상각중단기간 오류(상각중단시작일과 상각중단종료일은 함께 입력되어야 함)</t>
        </is>
      </c>
    </row>
    <row r="11">
      <c r="A11" s="19" t="inlineStr">
        <is>
          <t>오류_이중체감_내용연수0</t>
        </is>
      </c>
      <c r="B11" s="19" t="inlineStr">
        <is>
          <t>유형자산</t>
        </is>
      </c>
      <c r="C11" s="20" t="n">
        <v>44562</v>
      </c>
      <c r="D11" s="21" t="n">
        <v>10000000</v>
      </c>
      <c r="E11" s="21" t="n">
        <v>0</v>
      </c>
      <c r="F11" s="19" t="n">
        <v>0</v>
      </c>
      <c r="G11" s="19" t="inlineStr">
        <is>
          <t>이중체감법</t>
        </is>
      </c>
      <c r="H11" s="21" t="n">
        <v>1000000</v>
      </c>
      <c r="I11" s="21" t="inlineStr"/>
      <c r="J11" s="21" t="inlineStr"/>
      <c r="K11" s="21" t="inlineStr"/>
      <c r="L11" s="20" t="inlineStr"/>
      <c r="M11" s="21" t="inlineStr"/>
      <c r="N11" s="20" t="inlineStr"/>
      <c r="O11" s="20" t="inlineStr"/>
      <c r="P11" s="21" t="inlineStr"/>
      <c r="Q11" s="19" t="inlineStr">
        <is>
          <t>내용연수 오류(내용연수=0년, 1년 이상의 정수여야 함)</t>
        </is>
      </c>
    </row>
    <row r="12">
      <c r="A12" s="19" t="inlineStr">
        <is>
          <t>오류_연수합계_잔존가치초과</t>
        </is>
      </c>
      <c r="B12" s="19" t="inlineStr">
        <is>
          <t>유형자산</t>
        </is>
      </c>
      <c r="C12" s="20" t="n">
        <v>44562</v>
      </c>
      <c r="D12" s="21" t="n">
        <v>10000000</v>
      </c>
      <c r="E12" s="21" t="n">
        <v>15000000</v>
      </c>
      <c r="F12" s="19" t="n">
        <v>5</v>
      </c>
      <c r="G12" s="19" t="inlineStr">
        <is>
          <t>연수합계법</t>
        </is>
      </c>
      <c r="H12" s="21" t="n">
        <v>500000</v>
      </c>
      <c r="I12" s="21" t="inlineStr"/>
      <c r="J12" s="21" t="inlineStr"/>
      <c r="K12" s="21" t="inlineStr"/>
      <c r="L12" s="20" t="inlineStr"/>
      <c r="M12" s="21" t="inlineStr"/>
      <c r="N12" s="20" t="inlineStr"/>
      <c r="O12" s="20" t="inlineStr"/>
      <c r="P12" s="21" t="inlineStr"/>
      <c r="Q12" s="19" t="inlineStr">
        <is>
          <t>잔존가치 오류(잔존가치=15,000,000원, 취득원가=10,000,000원 미만이어야 함)</t>
        </is>
      </c>
    </row>
  </sheetData>
  <autoFilter ref="A1:Q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자산분류</t>
        </is>
      </c>
      <c r="B1" s="7" t="inlineStr">
        <is>
          <t>전체건수</t>
        </is>
      </c>
      <c r="C1" s="7" t="inlineStr">
        <is>
          <t>정상계산건수</t>
        </is>
      </c>
      <c r="D1" s="7" t="inlineStr">
        <is>
          <t>불일치건수</t>
        </is>
      </c>
      <c r="E1" s="7" t="inlineStr">
        <is>
          <t>불일치율(%)</t>
        </is>
      </c>
      <c r="F1" s="7" t="inlineStr">
        <is>
          <t>유의한차이건수</t>
        </is>
      </c>
      <c r="G1" s="7" t="inlineStr">
        <is>
          <t>오류건수</t>
        </is>
      </c>
    </row>
    <row r="2">
      <c r="A2" t="inlineStr">
        <is>
          <t>무형자산</t>
        </is>
      </c>
      <c r="B2" t="n">
        <v>29</v>
      </c>
      <c r="C2" t="n">
        <v>29</v>
      </c>
      <c r="D2" t="n">
        <v>1</v>
      </c>
      <c r="E2" t="n">
        <v>3.4</v>
      </c>
      <c r="F2" t="n">
        <v>0</v>
      </c>
      <c r="G2" t="n">
        <v>0</v>
      </c>
    </row>
    <row r="3">
      <c r="A3" t="inlineStr">
        <is>
          <t>유형자산</t>
        </is>
      </c>
      <c r="B3" t="n">
        <v>104</v>
      </c>
      <c r="C3" t="n">
        <v>93</v>
      </c>
      <c r="D3" t="n">
        <v>7</v>
      </c>
      <c r="E3" t="n">
        <v>7.5</v>
      </c>
      <c r="F3" t="n">
        <v>0</v>
      </c>
      <c r="G3" t="n">
        <v>11</v>
      </c>
    </row>
  </sheetData>
  <autoFilter ref="A1:G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7" t="inlineStr">
        <is>
          <t>내용연수(년)</t>
        </is>
      </c>
      <c r="B1" s="7" t="inlineStr">
        <is>
          <t>정액법할푼리</t>
        </is>
      </c>
      <c r="C1" s="7" t="inlineStr">
        <is>
          <t>정률법할푼리</t>
        </is>
      </c>
    </row>
    <row r="2">
      <c r="A2" t="n">
        <v>2</v>
      </c>
      <c r="B2" s="12" t="n">
        <v>0.5</v>
      </c>
      <c r="C2" s="12" t="n">
        <v>0.777</v>
      </c>
    </row>
    <row r="3">
      <c r="A3" t="n">
        <v>3</v>
      </c>
      <c r="B3" s="12" t="n">
        <v>0.333</v>
      </c>
      <c r="C3" s="12" t="n">
        <v>0.632</v>
      </c>
    </row>
    <row r="4">
      <c r="A4" t="n">
        <v>4</v>
      </c>
      <c r="B4" s="12" t="n">
        <v>0.25</v>
      </c>
      <c r="C4" s="12" t="n">
        <v>0.528</v>
      </c>
    </row>
    <row r="5">
      <c r="A5" t="n">
        <v>5</v>
      </c>
      <c r="B5" s="12" t="n">
        <v>0.2</v>
      </c>
      <c r="C5" s="12" t="n">
        <v>0.451</v>
      </c>
    </row>
    <row r="6">
      <c r="A6" t="n">
        <v>6</v>
      </c>
      <c r="B6" s="12" t="n">
        <v>0.166</v>
      </c>
      <c r="C6" s="12" t="n">
        <v>0.394</v>
      </c>
    </row>
    <row r="7">
      <c r="A7" t="n">
        <v>7</v>
      </c>
      <c r="B7" s="12" t="n">
        <v>0.142</v>
      </c>
      <c r="C7" s="12" t="n">
        <v>0.349</v>
      </c>
    </row>
    <row r="8">
      <c r="A8" t="n">
        <v>8</v>
      </c>
      <c r="B8" s="12" t="n">
        <v>0.125</v>
      </c>
      <c r="C8" s="12" t="n">
        <v>0.313</v>
      </c>
    </row>
    <row r="9">
      <c r="A9" t="n">
        <v>9</v>
      </c>
      <c r="B9" s="12" t="n">
        <v>0.111</v>
      </c>
      <c r="C9" s="12" t="n">
        <v>0.284</v>
      </c>
    </row>
    <row r="10">
      <c r="A10" t="n">
        <v>10</v>
      </c>
      <c r="B10" s="12" t="n">
        <v>0.1</v>
      </c>
      <c r="C10" s="12" t="n">
        <v>0.259</v>
      </c>
    </row>
    <row r="11">
      <c r="A11" t="n">
        <v>11</v>
      </c>
      <c r="B11" s="12" t="n">
        <v>0.09</v>
      </c>
      <c r="C11" s="12" t="n">
        <v>0.239</v>
      </c>
    </row>
    <row r="12">
      <c r="A12" t="n">
        <v>12</v>
      </c>
      <c r="B12" s="12" t="n">
        <v>0.083</v>
      </c>
      <c r="C12" s="12" t="n">
        <v>0.221</v>
      </c>
    </row>
    <row r="13">
      <c r="A13" t="n">
        <v>13</v>
      </c>
      <c r="B13" s="12" t="n">
        <v>0.076</v>
      </c>
      <c r="C13" s="12" t="n">
        <v>0.206</v>
      </c>
    </row>
    <row r="14">
      <c r="A14" t="n">
        <v>14</v>
      </c>
      <c r="B14" s="12" t="n">
        <v>0.07099999999999999</v>
      </c>
      <c r="C14" s="12" t="n">
        <v>0.193</v>
      </c>
    </row>
    <row r="15">
      <c r="A15" t="n">
        <v>15</v>
      </c>
      <c r="B15" s="12" t="n">
        <v>0.066</v>
      </c>
      <c r="C15" s="12" t="n">
        <v>0.182</v>
      </c>
    </row>
    <row r="16">
      <c r="A16" t="n">
        <v>16</v>
      </c>
      <c r="B16" s="12" t="n">
        <v>0.062</v>
      </c>
      <c r="C16" s="12" t="n">
        <v>0.171</v>
      </c>
    </row>
    <row r="17">
      <c r="A17" t="n">
        <v>17</v>
      </c>
      <c r="B17" s="12" t="n">
        <v>0.058</v>
      </c>
      <c r="C17" s="12" t="n">
        <v>0.162</v>
      </c>
    </row>
    <row r="18">
      <c r="A18" t="n">
        <v>18</v>
      </c>
      <c r="B18" s="12" t="n">
        <v>0.055</v>
      </c>
      <c r="C18" s="12" t="n">
        <v>0.154</v>
      </c>
    </row>
    <row r="19">
      <c r="A19" t="n">
        <v>19</v>
      </c>
      <c r="B19" s="12" t="n">
        <v>0.052</v>
      </c>
      <c r="C19" s="12" t="n">
        <v>0.146</v>
      </c>
    </row>
    <row r="20">
      <c r="A20" t="n">
        <v>20</v>
      </c>
      <c r="B20" s="12" t="n">
        <v>0.05</v>
      </c>
      <c r="C20" s="12" t="n">
        <v>0.14</v>
      </c>
    </row>
    <row r="21">
      <c r="A21" t="n">
        <v>21</v>
      </c>
      <c r="B21" s="12" t="n">
        <v>0.048</v>
      </c>
      <c r="C21" s="12" t="n">
        <v>0.133</v>
      </c>
    </row>
    <row r="22">
      <c r="A22" t="n">
        <v>22</v>
      </c>
      <c r="B22" s="12" t="n">
        <v>0.046</v>
      </c>
      <c r="C22" s="12" t="n">
        <v>0.128</v>
      </c>
    </row>
    <row r="23">
      <c r="A23" t="n">
        <v>23</v>
      </c>
      <c r="B23" s="12" t="n">
        <v>0.044</v>
      </c>
      <c r="C23" s="12" t="n">
        <v>0.123</v>
      </c>
    </row>
    <row r="24">
      <c r="A24" t="n">
        <v>24</v>
      </c>
      <c r="B24" s="12" t="n">
        <v>0.042</v>
      </c>
      <c r="C24" s="12" t="n">
        <v>0.118</v>
      </c>
    </row>
    <row r="25">
      <c r="A25" t="n">
        <v>25</v>
      </c>
      <c r="B25" s="12" t="n">
        <v>0.04</v>
      </c>
      <c r="C25" s="12" t="n">
        <v>0.113</v>
      </c>
    </row>
    <row r="26">
      <c r="A26" t="n">
        <v>26</v>
      </c>
      <c r="B26" s="12" t="n">
        <v>0.039</v>
      </c>
      <c r="C26" s="12" t="n">
        <v>0.109</v>
      </c>
    </row>
    <row r="27">
      <c r="A27" t="n">
        <v>27</v>
      </c>
      <c r="B27" s="12" t="n">
        <v>0.037</v>
      </c>
      <c r="C27" s="12" t="n">
        <v>0.106</v>
      </c>
    </row>
    <row r="28">
      <c r="A28" t="n">
        <v>28</v>
      </c>
      <c r="B28" s="12" t="n">
        <v>0.036</v>
      </c>
      <c r="C28" s="12" t="n">
        <v>0.102</v>
      </c>
    </row>
    <row r="29">
      <c r="A29" t="n">
        <v>29</v>
      </c>
      <c r="B29" s="12" t="n">
        <v>0.035</v>
      </c>
      <c r="C29" s="12" t="n">
        <v>0.099</v>
      </c>
    </row>
    <row r="30">
      <c r="A30" t="n">
        <v>30</v>
      </c>
      <c r="B30" s="12" t="n">
        <v>0.034</v>
      </c>
      <c r="C30" s="12" t="n">
        <v>0.096</v>
      </c>
    </row>
    <row r="31">
      <c r="A31" t="n">
        <v>31</v>
      </c>
      <c r="B31" s="12" t="n">
        <v>0.033</v>
      </c>
      <c r="C31" s="12" t="n">
        <v>0.093</v>
      </c>
    </row>
    <row r="32">
      <c r="A32" t="n">
        <v>32</v>
      </c>
      <c r="B32" s="12" t="n">
        <v>0.032</v>
      </c>
      <c r="C32" s="12" t="n">
        <v>0.09</v>
      </c>
    </row>
    <row r="33">
      <c r="A33" t="n">
        <v>33</v>
      </c>
      <c r="B33" s="12" t="n">
        <v>0.031</v>
      </c>
      <c r="C33" s="12" t="n">
        <v>0.08699999999999999</v>
      </c>
    </row>
    <row r="34">
      <c r="A34" t="n">
        <v>34</v>
      </c>
      <c r="B34" s="12" t="n">
        <v>0.03</v>
      </c>
      <c r="C34" s="12" t="n">
        <v>0.08500000000000001</v>
      </c>
    </row>
    <row r="35">
      <c r="A35" t="n">
        <v>35</v>
      </c>
      <c r="B35" s="12" t="n">
        <v>0.029</v>
      </c>
      <c r="C35" s="12" t="n">
        <v>0.083</v>
      </c>
    </row>
    <row r="36">
      <c r="A36" t="n">
        <v>36</v>
      </c>
      <c r="B36" s="12" t="n">
        <v>0.028</v>
      </c>
      <c r="C36" s="12" t="n">
        <v>0.08</v>
      </c>
    </row>
    <row r="37">
      <c r="A37" t="n">
        <v>37</v>
      </c>
      <c r="B37" s="12" t="n">
        <v>0.027</v>
      </c>
      <c r="C37" s="12" t="n">
        <v>0.078</v>
      </c>
    </row>
    <row r="38">
      <c r="A38" t="n">
        <v>38</v>
      </c>
      <c r="B38" s="12" t="n">
        <v>0.027</v>
      </c>
      <c r="C38" s="12" t="n">
        <v>0.076</v>
      </c>
    </row>
    <row r="39">
      <c r="A39" t="n">
        <v>39</v>
      </c>
      <c r="B39" s="12" t="n">
        <v>0.026</v>
      </c>
      <c r="C39" s="12" t="n">
        <v>0.074</v>
      </c>
    </row>
    <row r="40">
      <c r="A40" t="n">
        <v>40</v>
      </c>
      <c r="B40" s="12" t="n">
        <v>0.025</v>
      </c>
      <c r="C40" s="12" t="n">
        <v>0.073</v>
      </c>
    </row>
    <row r="41">
      <c r="A41" t="n">
        <v>41</v>
      </c>
      <c r="B41" s="12" t="n">
        <v>0.025</v>
      </c>
      <c r="C41" s="12" t="n">
        <v>0.07099999999999999</v>
      </c>
    </row>
    <row r="42">
      <c r="A42" t="n">
        <v>42</v>
      </c>
      <c r="B42" s="12" t="n">
        <v>0.024</v>
      </c>
      <c r="C42" s="12" t="n">
        <v>0.06900000000000001</v>
      </c>
    </row>
    <row r="43">
      <c r="A43" t="n">
        <v>43</v>
      </c>
      <c r="B43" s="12" t="n">
        <v>0.024</v>
      </c>
      <c r="C43" s="12" t="n">
        <v>0.068</v>
      </c>
    </row>
    <row r="44">
      <c r="A44" t="n">
        <v>44</v>
      </c>
      <c r="B44" s="12" t="n">
        <v>0.023</v>
      </c>
      <c r="C44" s="12" t="n">
        <v>0.066</v>
      </c>
    </row>
    <row r="45">
      <c r="A45" t="n">
        <v>45</v>
      </c>
      <c r="B45" s="12" t="n">
        <v>0.023</v>
      </c>
      <c r="C45" s="12" t="n">
        <v>0.065</v>
      </c>
    </row>
    <row r="46">
      <c r="A46" t="n">
        <v>46</v>
      </c>
      <c r="B46" s="12" t="n">
        <v>0.022</v>
      </c>
      <c r="C46" s="12" t="n">
        <v>0.064</v>
      </c>
    </row>
    <row r="47">
      <c r="A47" t="n">
        <v>47</v>
      </c>
      <c r="B47" s="12" t="n">
        <v>0.022</v>
      </c>
      <c r="C47" s="12" t="n">
        <v>0.062</v>
      </c>
    </row>
    <row r="48">
      <c r="A48" t="n">
        <v>48</v>
      </c>
      <c r="B48" s="12" t="n">
        <v>0.021</v>
      </c>
      <c r="C48" s="12" t="n">
        <v>0.061</v>
      </c>
    </row>
    <row r="49">
      <c r="A49" t="n">
        <v>49</v>
      </c>
      <c r="B49" s="12" t="n">
        <v>0.021</v>
      </c>
      <c r="C49" s="12" t="n">
        <v>0.06</v>
      </c>
    </row>
    <row r="50">
      <c r="A50" t="n">
        <v>50</v>
      </c>
      <c r="B50" s="12" t="n">
        <v>0.02</v>
      </c>
      <c r="C50" s="12" t="n">
        <v>0.059</v>
      </c>
    </row>
    <row r="51">
      <c r="A51" t="n">
        <v>51</v>
      </c>
      <c r="B51" s="12" t="n">
        <v>0.02</v>
      </c>
      <c r="C51" s="12" t="n">
        <v>0.058</v>
      </c>
    </row>
    <row r="52">
      <c r="A52" t="n">
        <v>52</v>
      </c>
      <c r="B52" s="12" t="n">
        <v>0.02</v>
      </c>
      <c r="C52" s="12" t="n">
        <v>0.056</v>
      </c>
    </row>
    <row r="53">
      <c r="A53" t="n">
        <v>53</v>
      </c>
      <c r="B53" s="12" t="n">
        <v>0.019</v>
      </c>
      <c r="C53" s="12" t="n">
        <v>0.055</v>
      </c>
    </row>
    <row r="54">
      <c r="A54" t="n">
        <v>54</v>
      </c>
      <c r="B54" s="12" t="n">
        <v>0.019</v>
      </c>
      <c r="C54" s="12" t="n">
        <v>0.054</v>
      </c>
    </row>
    <row r="55">
      <c r="A55" t="n">
        <v>55</v>
      </c>
      <c r="B55" s="12" t="n">
        <v>0.019</v>
      </c>
      <c r="C55" s="12" t="n">
        <v>0.054</v>
      </c>
    </row>
    <row r="56">
      <c r="A56" t="n">
        <v>56</v>
      </c>
      <c r="B56" s="12" t="n">
        <v>0.018</v>
      </c>
      <c r="C56" s="12" t="n">
        <v>0.053</v>
      </c>
    </row>
    <row r="57">
      <c r="A57" t="n">
        <v>57</v>
      </c>
      <c r="B57" s="12" t="n">
        <v>0.018</v>
      </c>
      <c r="C57" s="12" t="n">
        <v>0.052</v>
      </c>
    </row>
    <row r="58">
      <c r="A58" t="n">
        <v>58</v>
      </c>
      <c r="B58" s="12" t="n">
        <v>0.018</v>
      </c>
      <c r="C58" s="12" t="n">
        <v>0.051</v>
      </c>
    </row>
    <row r="59">
      <c r="A59" t="n">
        <v>59</v>
      </c>
      <c r="B59" s="12" t="n">
        <v>0.017</v>
      </c>
      <c r="C59" s="12" t="n">
        <v>0.05</v>
      </c>
    </row>
    <row r="60">
      <c r="A60" t="n">
        <v>60</v>
      </c>
      <c r="B60" s="12" t="n">
        <v>0.017</v>
      </c>
      <c r="C60" s="12" t="n">
        <v>0.049</v>
      </c>
    </row>
  </sheetData>
  <autoFilter ref="A1:C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2026-07-21T10:36:10Z</dcterms:created>
  <dcterms:modified xmlns:dcterms="http://purl.org/dc/terms/" xmlns:xsi="http://www.w3.org/2001/XMLSchema-instance" xsi:type="dcterms:W3CDTF">2026-07-21T10:36:10Z</dcterms:modified>
</cp:coreProperties>
</file>